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1016" documentId="8_{3BAC7642-3511-416A-B052-FA2206ADDE6F}" xr6:coauthVersionLast="47" xr6:coauthVersionMax="47" xr10:uidLastSave="{BF3D0B8E-3407-4064-B457-7C31D9407295}"/>
  <bookViews>
    <workbookView xWindow="-110" yWindow="-110" windowWidth="19420" windowHeight="11500" xr2:uid="{3F4AF157-4EA4-44F9-9369-4ED39BF1C451}"/>
  </bookViews>
  <sheets>
    <sheet name="Theme parks" sheetId="1" r:id="rId1"/>
  </sheets>
  <definedNames>
    <definedName name="_xlnm._FilterDatabase" localSheetId="0" hidden="1">'Theme parks'!$A$1:$E$1</definedName>
    <definedName name="_xlnm.Print_Area" localSheetId="0">'Theme parks'!$A$1:$E$1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 l="1"/>
  <c r="O16" i="1"/>
  <c r="E16" i="1"/>
  <c r="Q15" i="1"/>
  <c r="P15" i="1"/>
  <c r="O15" i="1"/>
  <c r="E15" i="1"/>
  <c r="Q14" i="1"/>
  <c r="P14" i="1"/>
  <c r="O14" i="1"/>
  <c r="E14" i="1"/>
  <c r="Q13" i="1"/>
  <c r="P13" i="1"/>
  <c r="O13" i="1"/>
  <c r="F13" i="1"/>
  <c r="F14" i="1" s="1"/>
  <c r="F15" i="1" s="1"/>
  <c r="E13" i="1"/>
  <c r="Q12" i="1"/>
  <c r="O12" i="1"/>
  <c r="E12" i="1"/>
  <c r="Q11" i="1"/>
  <c r="P11" i="1"/>
  <c r="O11" i="1"/>
  <c r="E11" i="1"/>
  <c r="Q10" i="1"/>
  <c r="P10" i="1"/>
  <c r="O10" i="1"/>
  <c r="F10" i="1"/>
  <c r="E10" i="1"/>
  <c r="Q9" i="1"/>
  <c r="O9" i="1"/>
  <c r="E9" i="1"/>
  <c r="Q8" i="1"/>
  <c r="O8" i="1"/>
  <c r="E8" i="1"/>
  <c r="Q7" i="1"/>
  <c r="P7" i="1"/>
  <c r="O7" i="1"/>
  <c r="E7" i="1"/>
  <c r="Q6" i="1"/>
  <c r="O6" i="1"/>
  <c r="E6" i="1"/>
  <c r="Q5" i="1"/>
  <c r="P5" i="1"/>
  <c r="O5" i="1"/>
  <c r="L5" i="1"/>
  <c r="L6" i="1" s="1"/>
  <c r="L7" i="1" s="1"/>
  <c r="L8" i="1" s="1"/>
  <c r="L9" i="1" s="1"/>
  <c r="L10" i="1" s="1"/>
  <c r="L11" i="1" s="1"/>
  <c r="L12" i="1" s="1"/>
  <c r="L13" i="1" s="1"/>
  <c r="L14" i="1" s="1"/>
  <c r="L15" i="1" s="1"/>
  <c r="L16" i="1" s="1"/>
  <c r="E5" i="1"/>
  <c r="Q4" i="1"/>
  <c r="P4" i="1"/>
  <c r="O4" i="1"/>
  <c r="L4" i="1"/>
  <c r="K4" i="1"/>
  <c r="K5" i="1" s="1"/>
  <c r="K6" i="1" s="1"/>
  <c r="K7" i="1" s="1"/>
  <c r="K8" i="1" s="1"/>
  <c r="K9" i="1" s="1"/>
  <c r="K10" i="1" s="1"/>
  <c r="K11" i="1" s="1"/>
  <c r="K12" i="1" s="1"/>
  <c r="K13" i="1" s="1"/>
  <c r="K14" i="1" s="1"/>
  <c r="K15" i="1" s="1"/>
  <c r="K16" i="1" s="1"/>
  <c r="E4" i="1"/>
  <c r="Q3" i="1"/>
  <c r="O3" i="1"/>
  <c r="L3" i="1"/>
  <c r="K3" i="1"/>
  <c r="F3" i="1"/>
  <c r="F4" i="1" s="1"/>
  <c r="F5" i="1" s="1"/>
  <c r="F6" i="1" s="1"/>
  <c r="F7" i="1" s="1"/>
  <c r="F8" i="1" s="1"/>
  <c r="E3" i="1"/>
  <c r="L2" i="1" l="1"/>
  <c r="K2" i="1"/>
  <c r="Q2" i="1"/>
  <c r="O2" i="1"/>
  <c r="E2" i="1"/>
</calcChain>
</file>

<file path=xl/sharedStrings.xml><?xml version="1.0" encoding="utf-8"?>
<sst xmlns="http://schemas.openxmlformats.org/spreadsheetml/2006/main" count="164" uniqueCount="123">
  <si>
    <t>Event</t>
  </si>
  <si>
    <t>Focus Keyphrase</t>
  </si>
  <si>
    <t>Zip code</t>
  </si>
  <si>
    <t>Event location</t>
  </si>
  <si>
    <t>Registration email/URL</t>
  </si>
  <si>
    <t>Start date</t>
  </si>
  <si>
    <t>End date</t>
  </si>
  <si>
    <t>Event category</t>
  </si>
  <si>
    <t>Event type</t>
  </si>
  <si>
    <t>Event thumbnail</t>
  </si>
  <si>
    <t>Banner name
(in folder, to upload)</t>
  </si>
  <si>
    <t>Family fun, date night, flying solo, group</t>
  </si>
  <si>
    <t>Amusement parks</t>
  </si>
  <si>
    <t>Family fun</t>
  </si>
  <si>
    <t>1313 Disneyland Dr Anaheim, CA </t>
  </si>
  <si>
    <t>Family fun, date night, group</t>
  </si>
  <si>
    <t>Title</t>
  </si>
  <si>
    <t>Top Box</t>
  </si>
  <si>
    <t>Meta Description 
(160 max words)</t>
  </si>
  <si>
    <t>Cell count</t>
  </si>
  <si>
    <t>Event category
(only 1)</t>
  </si>
  <si>
    <t>Amusement Theme Park</t>
  </si>
  <si>
    <t>Downtown disney district</t>
  </si>
  <si>
    <t>Downtown Disney District Amusement Theme Park</t>
  </si>
  <si>
    <t>Downtown Disney District Amusement Theme Park is a walkable shopping, dining and entertainment area just outside the gates of Disneyland Park and Disney California Adventure Park. You'll find many trendy stores, delicious restaurants and family entertainment. It's a perfect nightcap after a day in the parks. It's also a fun way to spend a few non-park hours.There is no admission fee to the Downtown Disney District. Parking for Downtown Disney District is at the Simba Lot, located off Disneyland Drive. The Downtown Disney District is conveniently located within walking distance of Disney California Adventure Park, Disneyland Park and the Disneyland Resort hotels.</t>
  </si>
  <si>
    <t>Downtown Disney District Amusement Theme Park is a walkable shopping, dining &amp; entertainment area just outside the gates of Disneyland &amp; Disney CA Adventure Pk.</t>
  </si>
  <si>
    <t>Downtown Disney</t>
  </si>
  <si>
    <t>https://disneyland.disney.go.com/destinations/downtown-disney-district/</t>
  </si>
  <si>
    <t>Giant wheel at irvine spectrum</t>
  </si>
  <si>
    <t>Giant Ferris Wheel Amusement Theme Park</t>
  </si>
  <si>
    <t>Ferris Wheel located at the Irvine Spectrum shopping mall. Day or night attraction with 52,000 LED lights &amp; panoramic city views from the top. An amusement theme park.</t>
  </si>
  <si>
    <t>Ferris Wheel located at the Irvine Spectrum mall. Day or night attraction with 52,000 LED lights &amp; panoramic city views from the top. An amusement theme park.</t>
  </si>
  <si>
    <t>70 Spectrum Center Dr, Irvine, CA</t>
  </si>
  <si>
    <t>Giant wheel</t>
  </si>
  <si>
    <t>https://www.irvinespectrumcenter.com/entertainment/attractions/giant-wheel</t>
  </si>
  <si>
    <t>Date night</t>
  </si>
  <si>
    <t>Great park carousel</t>
  </si>
  <si>
    <t>Great Park Carousel Amusement Theme Park</t>
  </si>
  <si>
    <t>The Great Park Carousel amusement theme park is an Orange County tradition, updated with vintage-inspired scenic artwork, is a favorite for kids of all ages.</t>
  </si>
  <si>
    <t>8000 Great Park Blvd, Irvine, CA</t>
  </si>
  <si>
    <t>Great Park Carousel</t>
  </si>
  <si>
    <t>https://www.cityofirvine.org/great-park/great-park-balloon-carousel</t>
  </si>
  <si>
    <t>Great wolf lodge waterpark</t>
  </si>
  <si>
    <t>Great Wolf Lodge Waterpark Amusement Theme Park</t>
  </si>
  <si>
    <t xml:space="preserve">The Great Wold Lodge Waterpark Amusement Theme Park with an indoor water park kept at a warm 84 degrees year-round, your pack can enjoy a world of fun—all under one roof. </t>
  </si>
  <si>
    <t>The Great Wold Lodge Waterpark Amusement Theme Park with an indoor water park kept at a warm 84 degrees year-round, your pack can enjoy a world of fun.</t>
  </si>
  <si>
    <t>12681 Harbor Blvd, Garden Grove, CA</t>
  </si>
  <si>
    <t>Great Wolf</t>
  </si>
  <si>
    <t>https://www.greatwolf.com/southern-california</t>
  </si>
  <si>
    <t>Great park - balloon</t>
  </si>
  <si>
    <t>Great Park Balloon Amusement Theme Park</t>
  </si>
  <si>
    <t>The Great Park Balloon Amusement Theme Park is an iconic attraction. With the ability to soar 400 feet above the surrounding landscape, it serves as a public observation deck for Great Park’s development and offers an unmatched 360° view that spans 40 miles on a clear day.</t>
  </si>
  <si>
    <t>The Great Park Balloon Amusement Theme Park is an iconic attraction and is free. With the ability to soar 400 feet above the surrounding landscape.</t>
  </si>
  <si>
    <t>8307 Great Park Blvd, Irvine, CA</t>
  </si>
  <si>
    <t>Great park balloon</t>
  </si>
  <si>
    <t>Amusement parks, Free is for me</t>
  </si>
  <si>
    <t>Irvine Park railroad</t>
  </si>
  <si>
    <t>Irvine Park Railroad Amusement Theme Park</t>
  </si>
  <si>
    <t>Irvine Park Railroad Amusement Theme Park is a 1/3 scale train that takes both children and adults on a ride through beautiful and historic Irvine Regional Park. Located in the foothills of Orange, Irvine Park Railroad is open seven days a week (weather permitting).</t>
  </si>
  <si>
    <t>Irvine Park Railroad Amusement Theme Park is a 1/3 scale train that takes both children &amp; adults on a ride through beautiful and historic Irvine Regional Park.</t>
  </si>
  <si>
    <t>1 Irvine Park Rd, Orange, CA</t>
  </si>
  <si>
    <t>Irvine park railroad</t>
  </si>
  <si>
    <t>https://www.irvineparkrailroad.com/</t>
  </si>
  <si>
    <t>Knott's berry farm</t>
  </si>
  <si>
    <t>Knott's Berry Farm Amusement Theme Park</t>
  </si>
  <si>
    <t>Knott's Berry Farm Amusement Theme Park is a 57-acre theme park located in Buena Park, California, owned and operated by Six Flags. In March 2015, it was ranked as the twelfth-most-visited theme park in North America.</t>
  </si>
  <si>
    <t xml:space="preserve">Knott's Berry Farm Amusement Theme Park is a 57-acre theme park located in Buena Park, California, owned and operated by Six Flags. </t>
  </si>
  <si>
    <t>8039 Beach Blvd, Buena Park, CA </t>
  </si>
  <si>
    <t>https://www.knotts.com/</t>
  </si>
  <si>
    <t>Knott's soak city</t>
  </si>
  <si>
    <t>Knott's Soak City Amusement Water Theme Park</t>
  </si>
  <si>
    <t>Knott’s Soak City Waterpark Amusement Theme Park is a separately gated 15-acre water adventure park immediately adjacent to Knott’s Berry Farm. Soak City boasts 23 speed, tube and body slides including Shore Break featuring 6 different waterslide experiences and a thrilling family raft ride, The Wedge; the 750,000-gallon Tidal Wave Bay wavepool; a one‑third‑mile Sunset River; and the three‑story Beach House, featuring 200 water guns, nozzles, sprayers and other interactive surprises. Soak City is open mid-May through early-September. Separate admission required.</t>
  </si>
  <si>
    <t xml:space="preserve">Knott’s Soak City Waterpark Amusement Theme Park is a separately gated 15-acre water adventure park immediately adjacent to Knott’s Berry Farm. </t>
  </si>
  <si>
    <t>Amusement Water Theme Park</t>
  </si>
  <si>
    <t>8200 Beach Blvd, Buena Park, CA</t>
  </si>
  <si>
    <t>https://www.knotts.com/soak-city</t>
  </si>
  <si>
    <t>Amusement parks, water fun</t>
  </si>
  <si>
    <t>Skyzone - Santa Ana</t>
  </si>
  <si>
    <t>Skyzone Trampoline Amusement Theme Park</t>
  </si>
  <si>
    <r>
      <t>Discover a gravity─defying experience at our </t>
    </r>
    <r>
      <rPr>
        <sz val="7"/>
        <color rgb="FF5F6368"/>
        <rFont val="Arial"/>
        <family val="2"/>
      </rPr>
      <t>Sky Zone</t>
    </r>
    <r>
      <rPr>
        <sz val="7"/>
        <color rgb="FF4D5156"/>
        <rFont val="Arial"/>
        <family val="2"/>
      </rPr>
      <t> Trampoline Amusement Theme Park in </t>
    </r>
    <r>
      <rPr>
        <sz val="7"/>
        <color rgb="FF5F6368"/>
        <rFont val="Arial"/>
        <family val="2"/>
      </rPr>
      <t>Santa Ana</t>
    </r>
    <r>
      <rPr>
        <sz val="7"/>
        <color rgb="FF4D5156"/>
        <rFont val="Arial"/>
        <family val="2"/>
      </rPr>
      <t>. It is the ultimate destination for exciting jumps and nonstop fun.</t>
    </r>
  </si>
  <si>
    <r>
      <t>Discover a gravity─defying experience at our </t>
    </r>
    <r>
      <rPr>
        <sz val="7"/>
        <color rgb="FF5F6368"/>
        <rFont val="Arial"/>
        <family val="2"/>
      </rPr>
      <t>Sky Zone</t>
    </r>
    <r>
      <rPr>
        <sz val="7"/>
        <color rgb="FF4D5156"/>
        <rFont val="Arial"/>
        <family val="2"/>
      </rPr>
      <t> Trampoline Amusement Theme Park. It is the ultimate destination for exciting jumps and nonstop fun.</t>
    </r>
  </si>
  <si>
    <t>1411 Village Way, Santa Ana, CA</t>
  </si>
  <si>
    <t>Skyzone</t>
  </si>
  <si>
    <t>https://www.skyzone.com/santa-ana/</t>
  </si>
  <si>
    <t xml:space="preserve">Terramor aquatic park </t>
  </si>
  <si>
    <t>Terramor Aquatic Amusement Theme Park</t>
  </si>
  <si>
    <t>Terramore Aquatic Water Amusement Theme Park is a kids mini water park for Ladera Ranch residents. Guess can come with a resident.</t>
  </si>
  <si>
    <t>26281 O'Neill Dr, Mission Viejo, CA </t>
  </si>
  <si>
    <t>Terramor</t>
  </si>
  <si>
    <t>https://laderalife.com/amenities/water-park/terramor-aquatic-park</t>
  </si>
  <si>
    <t>The adventure lagoon</t>
  </si>
  <si>
    <t>The Adventure Lagoon Amusement Water Theme Park</t>
  </si>
  <si>
    <t xml:space="preserve">The Adventure Lagoon Amusement Theme Water Park is home to one of the largest floating aqua parks sitting on top of our crystal clear lake that stays 74 to 78 degrees year round. Try to conquer all the obstacles with your friends and family or get a good laugh watching them wipeout! </t>
  </si>
  <si>
    <t xml:space="preserve">The Adventure Lagoon Amusement Theme Water Park is home to one of the largest floating aqua parks on top of our crystal clear lake that stays warm all year. </t>
  </si>
  <si>
    <t>3255 E Miraloma Ave, Anaheim, CA</t>
  </si>
  <si>
    <t>https://www.theadventurelagoon.com/</t>
  </si>
  <si>
    <t>The El Dorado frontier theme park</t>
  </si>
  <si>
    <t>The El Dorado Frontier Amusement Theme Park</t>
  </si>
  <si>
    <r>
      <t xml:space="preserve">California Gold Rush train ride amusement </t>
    </r>
    <r>
      <rPr>
        <b/>
        <sz val="7"/>
        <color rgb="FF5F6368"/>
        <rFont val="Arial"/>
        <family val="2"/>
      </rPr>
      <t>theme park</t>
    </r>
    <r>
      <rPr>
        <sz val="7"/>
        <color rgb="FF4D5156"/>
        <rFont val="Arial"/>
        <family val="2"/>
      </rPr>
      <t> located in </t>
    </r>
    <r>
      <rPr>
        <b/>
        <sz val="7"/>
        <color rgb="FF5F6368"/>
        <rFont val="Arial"/>
        <family val="2"/>
      </rPr>
      <t>the El Dorado</t>
    </r>
    <r>
      <rPr>
        <sz val="7"/>
        <color rgb="FF4D5156"/>
        <rFont val="Arial"/>
        <family val="2"/>
      </rPr>
      <t> East Regional Park of Long Beach, CA. Open weekends!</t>
    </r>
  </si>
  <si>
    <t>7550 E Spring St, Long Beach, CA </t>
  </si>
  <si>
    <t>The El Dorado</t>
  </si>
  <si>
    <t>https://www.theeldoradofrontier.com/</t>
  </si>
  <si>
    <t>Thrill it fun center</t>
  </si>
  <si>
    <t>Thrill It Fun Center Amusement Theme Park</t>
  </si>
  <si>
    <r>
      <t>Thrill It Fun center amusement theme park</t>
    </r>
    <r>
      <rPr>
        <sz val="7"/>
        <color rgb="FF4D5156"/>
        <rFont val="Arial"/>
        <family val="2"/>
      </rPr>
      <t> is orange county's most exciting family destination. We offer laser tag, high ropes, rock climbing, mechanical bull rides and more!</t>
    </r>
  </si>
  <si>
    <r>
      <t>Thrill It Fun center amusement theme park</t>
    </r>
    <r>
      <rPr>
        <sz val="7"/>
        <color rgb="FF4D5156"/>
        <rFont val="Arial"/>
        <family val="2"/>
      </rPr>
      <t> is OC's most exciting family fun. We offer laser tag, high ropes, rock climbing, mechanical bull rides and more!</t>
    </r>
  </si>
  <si>
    <t>20 City Blvd W, Orange, CA</t>
  </si>
  <si>
    <t>Thrill it</t>
  </si>
  <si>
    <t>https://www.thrillit.com/</t>
  </si>
  <si>
    <t>Urban air tramp &amp; adventure</t>
  </si>
  <si>
    <t>Urban Air Tramp &amp; Adventure Theme Park</t>
  </si>
  <si>
    <r>
      <t>Urban Air</t>
    </r>
    <r>
      <rPr>
        <sz val="7"/>
        <color rgb="FF4D5156"/>
        <rFont val="Arial"/>
        <family val="2"/>
      </rPr>
      <t> is the ultimate </t>
    </r>
    <r>
      <rPr>
        <b/>
        <sz val="7"/>
        <color rgb="FF5F6368"/>
        <rFont val="Arial"/>
        <family val="2"/>
      </rPr>
      <t>indoor adventure theme</t>
    </r>
    <r>
      <rPr>
        <sz val="7"/>
        <color rgb="FF4D5156"/>
        <rFont val="Arial"/>
        <family val="2"/>
      </rPr>
      <t> park and a destination for family </t>
    </r>
    <r>
      <rPr>
        <b/>
        <sz val="7"/>
        <color rgb="FF5F6368"/>
        <rFont val="Arial"/>
        <family val="2"/>
      </rPr>
      <t>fun</t>
    </r>
    <r>
      <rPr>
        <sz val="7"/>
        <color rgb="FF4D5156"/>
        <rFont val="Arial"/>
        <family val="2"/>
      </rPr>
      <t>. The parks feature attractions perfect for all ages!</t>
    </r>
  </si>
  <si>
    <t>1515 S Harbor Blvd Suite 10, Fullerton, CA</t>
  </si>
  <si>
    <t>Urban air</t>
  </si>
  <si>
    <t>https://www.urbanair.com/california-fullerton/?utm_source=gmb&amp;utm_medium=website</t>
  </si>
  <si>
    <t>Wild rivers</t>
  </si>
  <si>
    <t>Wild Rivers Adventure Theme Water Park</t>
  </si>
  <si>
    <r>
      <t>Wild Rivers Amusement Theme Water Park has over 20 acres of revitalized space and </t>
    </r>
    <r>
      <rPr>
        <sz val="8"/>
        <color rgb="FF040C28"/>
        <rFont val="Arial"/>
        <family val="2"/>
      </rPr>
      <t>20 exhilarating water slides</t>
    </r>
    <r>
      <rPr>
        <sz val="8"/>
        <color theme="1"/>
        <rFont val="Arial"/>
        <family val="2"/>
      </rPr>
      <t> and attractions, we cater to all tastes and preferences, boasting everything from heart-pounding thrill rides to a serene lazy river and pulse-pounding wave pool—ensuring an experience for every visitor.</t>
    </r>
  </si>
  <si>
    <r>
      <t>Wild Rivers Amusement Theme Water Park has over 20 acres of revitalized space and </t>
    </r>
    <r>
      <rPr>
        <sz val="8"/>
        <color rgb="FF040C28"/>
        <rFont val="Arial"/>
        <family val="2"/>
      </rPr>
      <t>20 exhilarating water slides</t>
    </r>
    <r>
      <rPr>
        <sz val="8"/>
        <color theme="1"/>
        <rFont val="Arial"/>
        <family val="2"/>
      </rPr>
      <t> and attractions.</t>
    </r>
  </si>
  <si>
    <t>Amusement Theme Water park</t>
  </si>
  <si>
    <t>10000 Great Park Blvd, Irvine, CA </t>
  </si>
  <si>
    <t>Wild Rivers</t>
  </si>
  <si>
    <t>https://wildrivers.com/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</si>
</sst>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8"/>
      <name val="Aptos Narrow"/>
      <family val="2"/>
      <scheme val="minor"/>
    </font>
    <font>
      <b/>
      <sz val="13"/>
      <color theme="1"/>
      <name val="Aptos Narrow"/>
      <family val="2"/>
      <scheme val="minor"/>
    </font>
    <font>
      <sz val="13"/>
      <color theme="1"/>
      <name val="Aptos Narrow"/>
      <family val="2"/>
      <scheme val="minor"/>
    </font>
    <font>
      <sz val="7"/>
      <color rgb="FF4D5156"/>
      <name val="Arial"/>
      <family val="2"/>
    </font>
    <font>
      <sz val="8"/>
      <color rgb="FF4D5156"/>
      <name val="Arial"/>
      <family val="2"/>
    </font>
    <font>
      <sz val="8"/>
      <color rgb="FF040C28"/>
      <name val="Arial"/>
      <family val="2"/>
    </font>
    <font>
      <b/>
      <sz val="10"/>
      <color theme="1"/>
      <name val="Aptos Narrow"/>
      <family val="2"/>
      <scheme val="minor"/>
    </font>
    <font>
      <sz val="11"/>
      <color rgb="FF333333"/>
      <name val="Arial"/>
      <family val="2"/>
    </font>
    <font>
      <sz val="9"/>
      <name val="Arial"/>
      <family val="2"/>
    </font>
    <font>
      <sz val="7"/>
      <color rgb="FF222222"/>
      <name val="Arial"/>
      <family val="2"/>
    </font>
    <font>
      <sz val="8"/>
      <color rgb="FF666666"/>
      <name val="Arial"/>
      <family val="2"/>
    </font>
    <font>
      <sz val="8"/>
      <color rgb="FF5B575B"/>
      <name val="Arial"/>
      <family val="2"/>
    </font>
    <font>
      <sz val="7"/>
      <color rgb="FF5F6368"/>
      <name val="Arial"/>
      <family val="2"/>
    </font>
    <font>
      <b/>
      <sz val="7"/>
      <color rgb="FF5F6368"/>
      <name val="Arial"/>
      <family val="2"/>
    </font>
    <font>
      <sz val="8"/>
      <color theme="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3" borderId="1" xfId="0" applyFont="1" applyFill="1" applyBorder="1" applyAlignment="1">
      <alignment horizontal="center"/>
    </xf>
    <xf numFmtId="0" fontId="3" fillId="0" borderId="1" xfId="0" applyFont="1" applyBorder="1"/>
    <xf numFmtId="0" fontId="3" fillId="2" borderId="1" xfId="0" applyFont="1" applyFill="1" applyBorder="1"/>
    <xf numFmtId="0" fontId="3" fillId="0" borderId="0" xfId="0" applyFont="1"/>
    <xf numFmtId="0" fontId="2" fillId="2" borderId="1" xfId="0" applyFont="1" applyFill="1" applyBorder="1"/>
    <xf numFmtId="14" fontId="3" fillId="2" borderId="1" xfId="0" applyNumberFormat="1" applyFont="1" applyFill="1" applyBorder="1"/>
    <xf numFmtId="0" fontId="3" fillId="2" borderId="1" xfId="0" applyFont="1" applyFill="1" applyBorder="1" applyAlignment="1">
      <alignment wrapText="1"/>
    </xf>
    <xf numFmtId="0" fontId="3" fillId="0" borderId="1" xfId="0" applyFont="1" applyBorder="1" applyAlignment="1">
      <alignment wrapText="1"/>
    </xf>
    <xf numFmtId="0" fontId="2" fillId="3" borderId="1" xfId="0" applyFont="1" applyFill="1" applyBorder="1" applyAlignment="1">
      <alignment horizontal="center" wrapText="1"/>
    </xf>
    <xf numFmtId="0" fontId="3" fillId="2" borderId="1" xfId="0" applyFont="1" applyFill="1" applyBorder="1" applyAlignment="1">
      <alignment horizontal="left"/>
    </xf>
    <xf numFmtId="0" fontId="4" fillId="0" borderId="1" xfId="0" applyFont="1" applyBorder="1" applyAlignment="1">
      <alignment wrapText="1"/>
    </xf>
    <xf numFmtId="0" fontId="7" fillId="3" borderId="1" xfId="0" applyFont="1" applyFill="1" applyBorder="1" applyAlignment="1">
      <alignment horizontal="center" wrapText="1"/>
    </xf>
    <xf numFmtId="0" fontId="5" fillId="0" borderId="1" xfId="0" applyFont="1" applyBorder="1" applyAlignment="1">
      <alignment wrapText="1"/>
    </xf>
    <xf numFmtId="0" fontId="5" fillId="2" borderId="1" xfId="0" applyFont="1" applyFill="1" applyBorder="1" applyAlignment="1">
      <alignment wrapText="1"/>
    </xf>
    <xf numFmtId="0" fontId="8" fillId="0" borderId="1" xfId="0" applyFont="1" applyBorder="1" applyAlignment="1">
      <alignment vertical="center" wrapText="1"/>
    </xf>
    <xf numFmtId="0" fontId="9"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wrapText="1"/>
    </xf>
    <xf numFmtId="0" fontId="12" fillId="0" borderId="1" xfId="0" applyFont="1" applyBorder="1" applyAlignment="1">
      <alignment wrapText="1"/>
    </xf>
    <xf numFmtId="0" fontId="14" fillId="0" borderId="1" xfId="0" applyFont="1" applyBorder="1" applyAlignment="1">
      <alignment wrapText="1"/>
    </xf>
    <xf numFmtId="0" fontId="1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98DF-CB20-4309-A9A2-0C089944AB6E}">
  <dimension ref="A1:Q44"/>
  <sheetViews>
    <sheetView tabSelected="1" zoomScale="90" zoomScaleNormal="90" workbookViewId="0">
      <selection activeCell="B1" sqref="B1:B1048576"/>
    </sheetView>
  </sheetViews>
  <sheetFormatPr defaultRowHeight="14.5" x14ac:dyDescent="0.35"/>
  <cols>
    <col min="1" max="1" width="36.6328125" customWidth="1"/>
    <col min="2" max="2" width="30.6328125" customWidth="1"/>
    <col min="3" max="3" width="37.81640625" customWidth="1"/>
    <col min="4" max="4" width="31" customWidth="1"/>
    <col min="5" max="5" width="5.7265625" customWidth="1"/>
    <col min="6" max="6" width="23.90625" customWidth="1"/>
    <col min="7" max="7" width="11.90625" customWidth="1"/>
    <col min="8" max="8" width="38.453125" customWidth="1"/>
    <col min="9" max="9" width="26" customWidth="1"/>
    <col min="10" max="10" width="40.6328125" customWidth="1"/>
    <col min="11" max="11" width="11.81640625" customWidth="1"/>
    <col min="12" max="12" width="11.26953125" customWidth="1"/>
    <col min="13" max="13" width="23" customWidth="1"/>
    <col min="14" max="14" width="19.26953125" customWidth="1"/>
    <col min="15" max="15" width="25.6328125" customWidth="1"/>
    <col min="16" max="16" width="22.453125" customWidth="1"/>
    <col min="17" max="17" width="20.7265625" customWidth="1"/>
    <col min="18" max="18" width="22.1796875" customWidth="1"/>
  </cols>
  <sheetData>
    <row r="1" spans="1:17" ht="34" x14ac:dyDescent="0.4">
      <c r="A1" s="1" t="s">
        <v>0</v>
      </c>
      <c r="B1" s="1" t="s">
        <v>16</v>
      </c>
      <c r="C1" s="1" t="s">
        <v>17</v>
      </c>
      <c r="D1" s="9" t="s">
        <v>18</v>
      </c>
      <c r="E1" s="12" t="s">
        <v>19</v>
      </c>
      <c r="F1" s="1" t="s">
        <v>1</v>
      </c>
      <c r="G1" s="1" t="s">
        <v>2</v>
      </c>
      <c r="H1" s="1" t="s">
        <v>3</v>
      </c>
      <c r="I1" s="9" t="s">
        <v>10</v>
      </c>
      <c r="J1" s="1" t="s">
        <v>4</v>
      </c>
      <c r="K1" s="1" t="s">
        <v>5</v>
      </c>
      <c r="L1" s="1" t="s">
        <v>6</v>
      </c>
      <c r="M1" s="1" t="s">
        <v>7</v>
      </c>
      <c r="N1" s="1" t="s">
        <v>8</v>
      </c>
      <c r="O1" s="1" t="s">
        <v>9</v>
      </c>
      <c r="P1" s="9" t="s">
        <v>20</v>
      </c>
      <c r="Q1" s="1" t="s">
        <v>8</v>
      </c>
    </row>
    <row r="2" spans="1:17" ht="132" x14ac:dyDescent="0.4">
      <c r="A2" s="3" t="s">
        <v>22</v>
      </c>
      <c r="B2" s="7" t="s">
        <v>23</v>
      </c>
      <c r="C2" s="13" t="s">
        <v>24</v>
      </c>
      <c r="D2" s="13" t="s">
        <v>25</v>
      </c>
      <c r="E2" s="7">
        <f t="shared" ref="E2:E16" si="0">LEN(D2)</f>
        <v>160</v>
      </c>
      <c r="F2" s="3" t="s">
        <v>21</v>
      </c>
      <c r="G2" s="10">
        <v>92802</v>
      </c>
      <c r="H2" s="3" t="s">
        <v>14</v>
      </c>
      <c r="I2" s="3" t="s">
        <v>26</v>
      </c>
      <c r="J2" s="7" t="s">
        <v>27</v>
      </c>
      <c r="K2" s="6" t="e">
        <f>#REF!</f>
        <v>#REF!</v>
      </c>
      <c r="L2" s="6" t="e">
        <f>#REF!</f>
        <v>#REF!</v>
      </c>
      <c r="M2" s="7" t="s">
        <v>11</v>
      </c>
      <c r="N2" s="7" t="s">
        <v>12</v>
      </c>
      <c r="O2" s="2" t="str">
        <f t="shared" ref="O2:O16" si="1">I2</f>
        <v>Downtown Disney</v>
      </c>
      <c r="P2" s="8" t="s">
        <v>13</v>
      </c>
      <c r="Q2" s="7" t="str">
        <f t="shared" ref="Q2:Q16" si="2">N2</f>
        <v>Amusement parks</v>
      </c>
    </row>
    <row r="3" spans="1:17" ht="42" x14ac:dyDescent="0.4">
      <c r="A3" s="3" t="s">
        <v>28</v>
      </c>
      <c r="B3" s="7" t="s">
        <v>29</v>
      </c>
      <c r="C3" s="14" t="s">
        <v>30</v>
      </c>
      <c r="D3" s="14" t="s">
        <v>31</v>
      </c>
      <c r="E3" s="7">
        <f t="shared" si="0"/>
        <v>158</v>
      </c>
      <c r="F3" s="3" t="str">
        <f t="shared" ref="F3:F15" si="3">F2</f>
        <v>Amusement Theme Park</v>
      </c>
      <c r="G3" s="10">
        <v>92618</v>
      </c>
      <c r="H3" s="3" t="s">
        <v>32</v>
      </c>
      <c r="I3" s="3" t="s">
        <v>33</v>
      </c>
      <c r="J3" s="7" t="s">
        <v>34</v>
      </c>
      <c r="K3" s="6" t="e">
        <f t="shared" ref="K3:L16" si="4">K2</f>
        <v>#REF!</v>
      </c>
      <c r="L3" s="6" t="e">
        <f t="shared" si="4"/>
        <v>#REF!</v>
      </c>
      <c r="M3" s="7" t="s">
        <v>15</v>
      </c>
      <c r="N3" s="7" t="s">
        <v>12</v>
      </c>
      <c r="O3" s="2" t="str">
        <f t="shared" si="1"/>
        <v>Giant wheel</v>
      </c>
      <c r="P3" s="8" t="s">
        <v>35</v>
      </c>
      <c r="Q3" s="7" t="str">
        <f t="shared" si="2"/>
        <v>Amusement parks</v>
      </c>
    </row>
    <row r="4" spans="1:17" ht="84" x14ac:dyDescent="0.4">
      <c r="A4" s="3" t="s">
        <v>36</v>
      </c>
      <c r="B4" s="7" t="s">
        <v>37</v>
      </c>
      <c r="C4" s="15" t="s">
        <v>38</v>
      </c>
      <c r="D4" s="15" t="s">
        <v>38</v>
      </c>
      <c r="E4" s="7">
        <f t="shared" si="0"/>
        <v>157</v>
      </c>
      <c r="F4" s="3" t="str">
        <f t="shared" si="3"/>
        <v>Amusement Theme Park</v>
      </c>
      <c r="G4" s="10">
        <v>92618</v>
      </c>
      <c r="H4" s="3" t="s">
        <v>39</v>
      </c>
      <c r="I4" s="3" t="s">
        <v>40</v>
      </c>
      <c r="J4" s="7" t="s">
        <v>41</v>
      </c>
      <c r="K4" s="6" t="e">
        <f t="shared" si="4"/>
        <v>#REF!</v>
      </c>
      <c r="L4" s="6" t="e">
        <f t="shared" si="4"/>
        <v>#REF!</v>
      </c>
      <c r="M4" s="7" t="s">
        <v>13</v>
      </c>
      <c r="N4" s="7" t="s">
        <v>12</v>
      </c>
      <c r="O4" s="2" t="str">
        <f t="shared" si="1"/>
        <v>Great Park Carousel</v>
      </c>
      <c r="P4" s="8" t="str">
        <f t="shared" ref="P4:P12" si="5">M4</f>
        <v>Family fun</v>
      </c>
      <c r="Q4" s="7" t="str">
        <f t="shared" si="2"/>
        <v>Amusement parks</v>
      </c>
    </row>
    <row r="5" spans="1:17" ht="59" x14ac:dyDescent="0.4">
      <c r="A5" s="3" t="s">
        <v>42</v>
      </c>
      <c r="B5" s="7" t="s">
        <v>43</v>
      </c>
      <c r="C5" s="16" t="s">
        <v>44</v>
      </c>
      <c r="D5" s="16" t="s">
        <v>45</v>
      </c>
      <c r="E5" s="7">
        <f t="shared" si="0"/>
        <v>151</v>
      </c>
      <c r="F5" s="3" t="str">
        <f t="shared" si="3"/>
        <v>Amusement Theme Park</v>
      </c>
      <c r="G5" s="10">
        <v>92840</v>
      </c>
      <c r="H5" s="3" t="s">
        <v>46</v>
      </c>
      <c r="I5" s="3" t="s">
        <v>47</v>
      </c>
      <c r="J5" s="7" t="s">
        <v>48</v>
      </c>
      <c r="K5" s="6" t="e">
        <f t="shared" si="4"/>
        <v>#REF!</v>
      </c>
      <c r="L5" s="6" t="e">
        <f t="shared" si="4"/>
        <v>#REF!</v>
      </c>
      <c r="M5" s="7" t="s">
        <v>13</v>
      </c>
      <c r="N5" s="7" t="s">
        <v>12</v>
      </c>
      <c r="O5" s="2" t="str">
        <f t="shared" si="1"/>
        <v>Great Wolf</v>
      </c>
      <c r="P5" s="8" t="str">
        <f t="shared" si="5"/>
        <v>Family fun</v>
      </c>
      <c r="Q5" s="7" t="str">
        <f t="shared" si="2"/>
        <v>Amusement parks</v>
      </c>
    </row>
    <row r="6" spans="1:17" ht="47" x14ac:dyDescent="0.4">
      <c r="A6" s="3" t="s">
        <v>49</v>
      </c>
      <c r="B6" s="7" t="s">
        <v>50</v>
      </c>
      <c r="C6" s="17" t="s">
        <v>51</v>
      </c>
      <c r="D6" s="17" t="s">
        <v>52</v>
      </c>
      <c r="E6" s="7">
        <f t="shared" si="0"/>
        <v>147</v>
      </c>
      <c r="F6" s="3" t="str">
        <f t="shared" si="3"/>
        <v>Amusement Theme Park</v>
      </c>
      <c r="G6" s="10">
        <v>92618</v>
      </c>
      <c r="H6" s="7" t="s">
        <v>53</v>
      </c>
      <c r="I6" s="3" t="s">
        <v>54</v>
      </c>
      <c r="J6" s="7" t="s">
        <v>41</v>
      </c>
      <c r="K6" s="6" t="e">
        <f t="shared" si="4"/>
        <v>#REF!</v>
      </c>
      <c r="L6" s="6" t="e">
        <f t="shared" si="4"/>
        <v>#REF!</v>
      </c>
      <c r="M6" s="7" t="s">
        <v>11</v>
      </c>
      <c r="N6" s="7" t="s">
        <v>55</v>
      </c>
      <c r="O6" s="2" t="str">
        <f t="shared" si="1"/>
        <v>Great park balloon</v>
      </c>
      <c r="P6" s="8" t="s">
        <v>35</v>
      </c>
      <c r="Q6" s="7" t="str">
        <f t="shared" si="2"/>
        <v>Amusement parks, Free is for me</v>
      </c>
    </row>
    <row r="7" spans="1:17" ht="52" x14ac:dyDescent="0.4">
      <c r="A7" s="2" t="s">
        <v>56</v>
      </c>
      <c r="B7" s="8" t="s">
        <v>57</v>
      </c>
      <c r="C7" s="18" t="s">
        <v>58</v>
      </c>
      <c r="D7" s="18" t="s">
        <v>59</v>
      </c>
      <c r="E7" s="7">
        <f t="shared" si="0"/>
        <v>159</v>
      </c>
      <c r="F7" s="3" t="str">
        <f t="shared" si="3"/>
        <v>Amusement Theme Park</v>
      </c>
      <c r="G7" s="10">
        <v>92869</v>
      </c>
      <c r="H7" s="7" t="s">
        <v>60</v>
      </c>
      <c r="I7" s="2" t="s">
        <v>61</v>
      </c>
      <c r="J7" s="8" t="s">
        <v>62</v>
      </c>
      <c r="K7" s="6" t="e">
        <f t="shared" si="4"/>
        <v>#REF!</v>
      </c>
      <c r="L7" s="6" t="e">
        <f t="shared" si="4"/>
        <v>#REF!</v>
      </c>
      <c r="M7" s="8" t="s">
        <v>13</v>
      </c>
      <c r="N7" s="7" t="s">
        <v>12</v>
      </c>
      <c r="O7" s="2" t="str">
        <f t="shared" si="1"/>
        <v>Irvine park railroad</v>
      </c>
      <c r="P7" s="8" t="str">
        <f t="shared" si="5"/>
        <v>Family fun</v>
      </c>
      <c r="Q7" s="7" t="str">
        <f t="shared" si="2"/>
        <v>Amusement parks</v>
      </c>
    </row>
    <row r="8" spans="1:17" ht="38" x14ac:dyDescent="0.4">
      <c r="A8" s="3" t="s">
        <v>63</v>
      </c>
      <c r="B8" s="7" t="s">
        <v>64</v>
      </c>
      <c r="C8" s="11" t="s">
        <v>65</v>
      </c>
      <c r="D8" s="11" t="s">
        <v>66</v>
      </c>
      <c r="E8" s="7">
        <f t="shared" si="0"/>
        <v>132</v>
      </c>
      <c r="F8" s="3" t="str">
        <f t="shared" si="3"/>
        <v>Amusement Theme Park</v>
      </c>
      <c r="G8" s="10">
        <v>90620</v>
      </c>
      <c r="H8" s="7" t="s">
        <v>67</v>
      </c>
      <c r="I8" s="3" t="s">
        <v>63</v>
      </c>
      <c r="J8" s="7" t="s">
        <v>68</v>
      </c>
      <c r="K8" s="6" t="e">
        <f t="shared" si="4"/>
        <v>#REF!</v>
      </c>
      <c r="L8" s="6" t="e">
        <f t="shared" si="4"/>
        <v>#REF!</v>
      </c>
      <c r="M8" s="7" t="s">
        <v>15</v>
      </c>
      <c r="N8" s="7" t="s">
        <v>12</v>
      </c>
      <c r="O8" s="2" t="str">
        <f t="shared" si="1"/>
        <v>Knott's berry farm</v>
      </c>
      <c r="P8" s="8" t="s">
        <v>13</v>
      </c>
      <c r="Q8" s="7" t="str">
        <f t="shared" si="2"/>
        <v>Amusement parks</v>
      </c>
    </row>
    <row r="9" spans="1:17" ht="112" x14ac:dyDescent="0.4">
      <c r="A9" s="3" t="s">
        <v>69</v>
      </c>
      <c r="B9" s="7" t="s">
        <v>70</v>
      </c>
      <c r="C9" s="19" t="s">
        <v>71</v>
      </c>
      <c r="D9" s="19" t="s">
        <v>72</v>
      </c>
      <c r="E9" s="7">
        <f t="shared" si="0"/>
        <v>144</v>
      </c>
      <c r="F9" s="7" t="s">
        <v>73</v>
      </c>
      <c r="G9" s="10">
        <v>90620</v>
      </c>
      <c r="H9" s="7" t="s">
        <v>74</v>
      </c>
      <c r="I9" s="3" t="s">
        <v>69</v>
      </c>
      <c r="J9" s="7" t="s">
        <v>75</v>
      </c>
      <c r="K9" s="6" t="e">
        <f t="shared" si="4"/>
        <v>#REF!</v>
      </c>
      <c r="L9" s="6" t="e">
        <f t="shared" si="4"/>
        <v>#REF!</v>
      </c>
      <c r="M9" s="7" t="s">
        <v>15</v>
      </c>
      <c r="N9" s="7" t="s">
        <v>76</v>
      </c>
      <c r="O9" s="3" t="str">
        <f t="shared" si="1"/>
        <v>Knott's soak city</v>
      </c>
      <c r="P9" s="8" t="s">
        <v>13</v>
      </c>
      <c r="Q9" s="7" t="str">
        <f t="shared" si="2"/>
        <v>Amusement parks, water fun</v>
      </c>
    </row>
    <row r="10" spans="1:17" ht="38" x14ac:dyDescent="0.4">
      <c r="A10" s="3" t="s">
        <v>77</v>
      </c>
      <c r="B10" s="7" t="s">
        <v>78</v>
      </c>
      <c r="C10" s="11" t="s">
        <v>79</v>
      </c>
      <c r="D10" s="11" t="s">
        <v>80</v>
      </c>
      <c r="E10" s="7">
        <f t="shared" si="0"/>
        <v>153</v>
      </c>
      <c r="F10" s="3" t="str">
        <f>F9</f>
        <v>Amusement Water Theme Park</v>
      </c>
      <c r="G10" s="10">
        <v>92705</v>
      </c>
      <c r="H10" s="7" t="s">
        <v>81</v>
      </c>
      <c r="I10" s="3" t="s">
        <v>82</v>
      </c>
      <c r="J10" s="7" t="s">
        <v>83</v>
      </c>
      <c r="K10" s="6" t="e">
        <f>K9</f>
        <v>#REF!</v>
      </c>
      <c r="L10" s="6" t="e">
        <f>L9</f>
        <v>#REF!</v>
      </c>
      <c r="M10" s="7" t="s">
        <v>13</v>
      </c>
      <c r="N10" s="7" t="s">
        <v>12</v>
      </c>
      <c r="O10" s="3" t="str">
        <f t="shared" si="1"/>
        <v>Skyzone</v>
      </c>
      <c r="P10" s="7" t="str">
        <f>M10</f>
        <v>Family fun</v>
      </c>
      <c r="Q10" s="7" t="str">
        <f t="shared" si="2"/>
        <v>Amusement parks</v>
      </c>
    </row>
    <row r="11" spans="1:17" ht="85" x14ac:dyDescent="0.4">
      <c r="A11" s="3" t="s">
        <v>84</v>
      </c>
      <c r="B11" s="7" t="s">
        <v>85</v>
      </c>
      <c r="C11" s="7" t="s">
        <v>86</v>
      </c>
      <c r="D11" s="7" t="s">
        <v>86</v>
      </c>
      <c r="E11" s="7">
        <f t="shared" si="0"/>
        <v>130</v>
      </c>
      <c r="F11" s="7" t="s">
        <v>73</v>
      </c>
      <c r="G11" s="10">
        <v>92692</v>
      </c>
      <c r="H11" s="7" t="s">
        <v>87</v>
      </c>
      <c r="I11" s="3" t="s">
        <v>88</v>
      </c>
      <c r="J11" s="7" t="s">
        <v>89</v>
      </c>
      <c r="K11" s="6" t="e">
        <f>K10</f>
        <v>#REF!</v>
      </c>
      <c r="L11" s="6" t="e">
        <f>L10</f>
        <v>#REF!</v>
      </c>
      <c r="M11" s="7" t="s">
        <v>13</v>
      </c>
      <c r="N11" s="7" t="s">
        <v>76</v>
      </c>
      <c r="O11" s="3" t="str">
        <f t="shared" si="1"/>
        <v>Terramor</v>
      </c>
      <c r="P11" s="7" t="str">
        <f t="shared" ref="P11:P15" si="6">M11</f>
        <v>Family fun</v>
      </c>
      <c r="Q11" s="7" t="str">
        <f t="shared" si="2"/>
        <v>Amusement parks, water fun</v>
      </c>
    </row>
    <row r="12" spans="1:17" ht="136" x14ac:dyDescent="0.4">
      <c r="A12" s="3" t="s">
        <v>90</v>
      </c>
      <c r="B12" s="7" t="s">
        <v>91</v>
      </c>
      <c r="C12" s="7" t="s">
        <v>92</v>
      </c>
      <c r="D12" s="7" t="s">
        <v>93</v>
      </c>
      <c r="E12" s="7">
        <f t="shared" si="0"/>
        <v>157</v>
      </c>
      <c r="F12" s="3" t="s">
        <v>21</v>
      </c>
      <c r="G12" s="10">
        <v>92806</v>
      </c>
      <c r="H12" s="7" t="s">
        <v>94</v>
      </c>
      <c r="I12" s="3" t="s">
        <v>90</v>
      </c>
      <c r="J12" s="7" t="s">
        <v>95</v>
      </c>
      <c r="K12" s="6" t="e">
        <f t="shared" si="4"/>
        <v>#REF!</v>
      </c>
      <c r="L12" s="6" t="e">
        <f t="shared" si="4"/>
        <v>#REF!</v>
      </c>
      <c r="M12" s="7" t="s">
        <v>15</v>
      </c>
      <c r="N12" s="7" t="s">
        <v>76</v>
      </c>
      <c r="O12" s="3" t="str">
        <f t="shared" si="1"/>
        <v>The adventure lagoon</v>
      </c>
      <c r="P12" s="7" t="s">
        <v>13</v>
      </c>
      <c r="Q12" s="7" t="str">
        <f t="shared" si="2"/>
        <v>Amusement parks, water fun</v>
      </c>
    </row>
    <row r="13" spans="1:17" ht="34" x14ac:dyDescent="0.4">
      <c r="A13" s="3" t="s">
        <v>96</v>
      </c>
      <c r="B13" s="7" t="s">
        <v>97</v>
      </c>
      <c r="C13" s="11" t="s">
        <v>98</v>
      </c>
      <c r="D13" s="11" t="s">
        <v>98</v>
      </c>
      <c r="E13" s="7">
        <f t="shared" si="0"/>
        <v>130</v>
      </c>
      <c r="F13" s="3" t="str">
        <f t="shared" si="3"/>
        <v>Amusement Theme Park</v>
      </c>
      <c r="G13" s="10">
        <v>90815</v>
      </c>
      <c r="H13" s="7" t="s">
        <v>99</v>
      </c>
      <c r="I13" s="3" t="s">
        <v>100</v>
      </c>
      <c r="J13" s="3" t="s">
        <v>101</v>
      </c>
      <c r="K13" s="6" t="e">
        <f t="shared" si="4"/>
        <v>#REF!</v>
      </c>
      <c r="L13" s="6" t="e">
        <f t="shared" si="4"/>
        <v>#REF!</v>
      </c>
      <c r="M13" s="7" t="s">
        <v>13</v>
      </c>
      <c r="N13" s="7" t="s">
        <v>12</v>
      </c>
      <c r="O13" s="3" t="str">
        <f t="shared" si="1"/>
        <v>The El Dorado</v>
      </c>
      <c r="P13" s="7" t="str">
        <f t="shared" si="6"/>
        <v>Family fun</v>
      </c>
      <c r="Q13" s="7" t="str">
        <f t="shared" si="2"/>
        <v>Amusement parks</v>
      </c>
    </row>
    <row r="14" spans="1:17" ht="38" x14ac:dyDescent="0.4">
      <c r="A14" s="3" t="s">
        <v>102</v>
      </c>
      <c r="B14" s="7" t="s">
        <v>103</v>
      </c>
      <c r="C14" s="20" t="s">
        <v>104</v>
      </c>
      <c r="D14" s="20" t="s">
        <v>105</v>
      </c>
      <c r="E14" s="7">
        <f t="shared" si="0"/>
        <v>154</v>
      </c>
      <c r="F14" s="3" t="str">
        <f t="shared" si="3"/>
        <v>Amusement Theme Park</v>
      </c>
      <c r="G14" s="10">
        <v>92868</v>
      </c>
      <c r="H14" s="7" t="s">
        <v>106</v>
      </c>
      <c r="I14" s="3" t="s">
        <v>107</v>
      </c>
      <c r="J14" s="3" t="s">
        <v>108</v>
      </c>
      <c r="K14" s="6" t="e">
        <f t="shared" si="4"/>
        <v>#REF!</v>
      </c>
      <c r="L14" s="6" t="e">
        <f t="shared" si="4"/>
        <v>#REF!</v>
      </c>
      <c r="M14" s="7" t="s">
        <v>13</v>
      </c>
      <c r="N14" s="7" t="s">
        <v>12</v>
      </c>
      <c r="O14" s="3" t="str">
        <f t="shared" si="1"/>
        <v>Thrill it</v>
      </c>
      <c r="P14" s="7" t="str">
        <f t="shared" si="6"/>
        <v>Family fun</v>
      </c>
      <c r="Q14" s="7" t="str">
        <f t="shared" si="2"/>
        <v>Amusement parks</v>
      </c>
    </row>
    <row r="15" spans="1:17" ht="51" x14ac:dyDescent="0.4">
      <c r="A15" s="3" t="s">
        <v>109</v>
      </c>
      <c r="B15" s="7" t="s">
        <v>110</v>
      </c>
      <c r="C15" s="20" t="s">
        <v>111</v>
      </c>
      <c r="D15" s="20" t="s">
        <v>111</v>
      </c>
      <c r="E15" s="7">
        <f t="shared" si="0"/>
        <v>139</v>
      </c>
      <c r="F15" s="3" t="str">
        <f t="shared" si="3"/>
        <v>Amusement Theme Park</v>
      </c>
      <c r="G15" s="10">
        <v>92832</v>
      </c>
      <c r="H15" s="7" t="s">
        <v>112</v>
      </c>
      <c r="I15" s="3" t="s">
        <v>113</v>
      </c>
      <c r="J15" s="7" t="s">
        <v>114</v>
      </c>
      <c r="K15" s="6" t="e">
        <f t="shared" si="4"/>
        <v>#REF!</v>
      </c>
      <c r="L15" s="6" t="e">
        <f t="shared" si="4"/>
        <v>#REF!</v>
      </c>
      <c r="M15" s="7" t="s">
        <v>13</v>
      </c>
      <c r="N15" s="7" t="s">
        <v>12</v>
      </c>
      <c r="O15" s="3" t="str">
        <f t="shared" si="1"/>
        <v>Urban air</v>
      </c>
      <c r="P15" s="7" t="str">
        <f t="shared" si="6"/>
        <v>Family fun</v>
      </c>
      <c r="Q15" s="7" t="str">
        <f t="shared" si="2"/>
        <v>Amusement parks</v>
      </c>
    </row>
    <row r="16" spans="1:17" ht="62" x14ac:dyDescent="0.4">
      <c r="A16" s="3" t="s">
        <v>115</v>
      </c>
      <c r="B16" s="7" t="s">
        <v>116</v>
      </c>
      <c r="C16" s="21" t="s">
        <v>117</v>
      </c>
      <c r="D16" s="21" t="s">
        <v>118</v>
      </c>
      <c r="E16" s="7">
        <f t="shared" si="0"/>
        <v>127</v>
      </c>
      <c r="F16" s="7" t="s">
        <v>119</v>
      </c>
      <c r="G16" s="10">
        <v>92618</v>
      </c>
      <c r="H16" s="7" t="s">
        <v>120</v>
      </c>
      <c r="I16" s="3" t="s">
        <v>121</v>
      </c>
      <c r="J16" s="3" t="s">
        <v>122</v>
      </c>
      <c r="K16" s="6" t="e">
        <f t="shared" si="4"/>
        <v>#REF!</v>
      </c>
      <c r="L16" s="6" t="e">
        <f t="shared" si="4"/>
        <v>#REF!</v>
      </c>
      <c r="M16" s="7" t="s">
        <v>15</v>
      </c>
      <c r="N16" s="7" t="s">
        <v>76</v>
      </c>
      <c r="O16" s="3" t="str">
        <f t="shared" si="1"/>
        <v>Wild Rivers</v>
      </c>
      <c r="P16" s="7" t="s">
        <v>13</v>
      </c>
      <c r="Q16" s="7" t="str">
        <f t="shared" si="2"/>
        <v>Amusement parks, water fun</v>
      </c>
    </row>
    <row r="17" spans="1:17" ht="17" x14ac:dyDescent="0.4">
      <c r="A17" s="3"/>
      <c r="B17" s="3"/>
      <c r="C17" s="3"/>
      <c r="D17" s="3"/>
      <c r="E17" s="3"/>
      <c r="F17" s="3"/>
      <c r="G17" s="3"/>
      <c r="H17" s="3"/>
      <c r="I17" s="3"/>
      <c r="J17" s="3"/>
      <c r="K17" s="3"/>
      <c r="L17" s="3"/>
      <c r="M17" s="3"/>
      <c r="N17" s="3"/>
      <c r="O17" s="3"/>
      <c r="P17" s="3"/>
      <c r="Q17" s="3"/>
    </row>
    <row r="18" spans="1:17" ht="17" x14ac:dyDescent="0.4">
      <c r="A18" s="3"/>
      <c r="B18" s="3"/>
      <c r="C18" s="3"/>
      <c r="D18" s="3"/>
      <c r="E18" s="3"/>
      <c r="F18" s="3"/>
      <c r="G18" s="3"/>
      <c r="H18" s="3"/>
      <c r="I18" s="3"/>
      <c r="J18" s="3"/>
      <c r="K18" s="3"/>
      <c r="L18" s="3"/>
      <c r="M18" s="3"/>
      <c r="N18" s="3"/>
      <c r="O18" s="3"/>
      <c r="P18" s="3"/>
      <c r="Q18" s="3"/>
    </row>
    <row r="19" spans="1:17" ht="17" x14ac:dyDescent="0.4">
      <c r="A19" s="3"/>
      <c r="B19" s="3"/>
      <c r="C19" s="3"/>
      <c r="D19" s="3"/>
      <c r="E19" s="3"/>
      <c r="F19" s="3"/>
      <c r="G19" s="3"/>
      <c r="H19" s="3"/>
      <c r="I19" s="3"/>
      <c r="J19" s="3"/>
      <c r="K19" s="3"/>
      <c r="L19" s="3"/>
      <c r="M19" s="3"/>
      <c r="N19" s="3"/>
      <c r="O19" s="3"/>
      <c r="P19" s="3"/>
      <c r="Q19" s="3"/>
    </row>
    <row r="20" spans="1:17" ht="17" x14ac:dyDescent="0.4">
      <c r="A20" s="3"/>
      <c r="B20" s="3"/>
      <c r="C20" s="3"/>
      <c r="D20" s="3"/>
      <c r="E20" s="3"/>
      <c r="F20" s="3"/>
      <c r="G20" s="3"/>
      <c r="H20" s="3"/>
      <c r="I20" s="3"/>
      <c r="J20" s="3"/>
      <c r="K20" s="3"/>
      <c r="L20" s="3"/>
      <c r="M20" s="3"/>
      <c r="N20" s="3"/>
      <c r="O20" s="3"/>
      <c r="P20" s="3"/>
      <c r="Q20" s="3"/>
    </row>
    <row r="21" spans="1:17" ht="17" x14ac:dyDescent="0.4">
      <c r="A21" s="3"/>
      <c r="B21" s="3"/>
      <c r="C21" s="3"/>
      <c r="D21" s="3"/>
      <c r="E21" s="3"/>
      <c r="F21" s="3"/>
      <c r="G21" s="3"/>
      <c r="H21" s="3"/>
      <c r="I21" s="3"/>
      <c r="J21" s="3"/>
      <c r="K21" s="3"/>
      <c r="L21" s="3"/>
      <c r="M21" s="3"/>
      <c r="N21" s="3"/>
      <c r="O21" s="3"/>
      <c r="P21" s="3"/>
      <c r="Q21" s="3"/>
    </row>
    <row r="22" spans="1:17" ht="17" x14ac:dyDescent="0.4">
      <c r="A22" s="3"/>
      <c r="B22" s="3"/>
      <c r="C22" s="3"/>
      <c r="D22" s="3"/>
      <c r="E22" s="3"/>
      <c r="F22" s="3"/>
      <c r="G22" s="3"/>
      <c r="H22" s="3"/>
      <c r="I22" s="3"/>
      <c r="J22" s="3"/>
      <c r="K22" s="3"/>
      <c r="L22" s="3"/>
      <c r="M22" s="3"/>
      <c r="N22" s="3"/>
      <c r="O22" s="3"/>
      <c r="P22" s="3"/>
      <c r="Q22" s="3"/>
    </row>
    <row r="23" spans="1:17" ht="17" x14ac:dyDescent="0.4">
      <c r="A23" s="5"/>
      <c r="B23" s="5"/>
      <c r="C23" s="5"/>
      <c r="D23" s="5"/>
      <c r="E23" s="5"/>
      <c r="F23" s="3"/>
      <c r="G23" s="3"/>
      <c r="H23" s="3"/>
      <c r="I23" s="3"/>
      <c r="J23" s="3"/>
      <c r="K23" s="3"/>
      <c r="L23" s="3"/>
      <c r="M23" s="3"/>
      <c r="N23" s="3"/>
      <c r="O23" s="3"/>
      <c r="P23" s="3"/>
      <c r="Q23" s="3"/>
    </row>
    <row r="24" spans="1:17" ht="17" x14ac:dyDescent="0.4">
      <c r="A24" s="3"/>
      <c r="B24" s="3"/>
      <c r="C24" s="3"/>
      <c r="D24" s="3"/>
      <c r="E24" s="3"/>
      <c r="F24" s="3"/>
      <c r="G24" s="3"/>
      <c r="H24" s="3"/>
      <c r="I24" s="3"/>
      <c r="J24" s="3"/>
      <c r="K24" s="3"/>
      <c r="L24" s="3"/>
      <c r="M24" s="3"/>
      <c r="N24" s="3"/>
      <c r="O24" s="3"/>
      <c r="P24" s="3"/>
      <c r="Q24" s="3"/>
    </row>
    <row r="25" spans="1:17" ht="17" x14ac:dyDescent="0.4">
      <c r="A25" s="3"/>
      <c r="B25" s="3"/>
      <c r="C25" s="3"/>
      <c r="D25" s="3"/>
      <c r="E25" s="3"/>
      <c r="F25" s="3"/>
      <c r="G25" s="3"/>
      <c r="H25" s="3"/>
      <c r="I25" s="3"/>
      <c r="J25" s="3"/>
      <c r="K25" s="3"/>
      <c r="L25" s="3"/>
      <c r="M25" s="3"/>
      <c r="N25" s="3"/>
      <c r="O25" s="3"/>
      <c r="P25" s="3"/>
      <c r="Q25" s="3"/>
    </row>
    <row r="26" spans="1:17" ht="17" x14ac:dyDescent="0.4">
      <c r="A26" s="3"/>
      <c r="B26" s="3"/>
      <c r="C26" s="3"/>
      <c r="D26" s="3"/>
      <c r="E26" s="3"/>
      <c r="F26" s="3"/>
      <c r="G26" s="3"/>
      <c r="H26" s="3"/>
      <c r="I26" s="3"/>
      <c r="J26" s="3"/>
      <c r="K26" s="3"/>
      <c r="L26" s="3"/>
      <c r="M26" s="3"/>
      <c r="N26" s="3"/>
      <c r="O26" s="3"/>
      <c r="P26" s="3"/>
      <c r="Q26" s="3"/>
    </row>
    <row r="27" spans="1:17" ht="17" x14ac:dyDescent="0.4">
      <c r="A27" s="3"/>
      <c r="B27" s="3"/>
      <c r="C27" s="3"/>
      <c r="D27" s="3"/>
      <c r="E27" s="3"/>
      <c r="F27" s="3"/>
      <c r="G27" s="3"/>
      <c r="H27" s="3"/>
      <c r="I27" s="3"/>
      <c r="J27" s="3"/>
      <c r="K27" s="3"/>
      <c r="L27" s="3"/>
      <c r="M27" s="3"/>
      <c r="N27" s="3"/>
      <c r="O27" s="3"/>
      <c r="P27" s="3"/>
      <c r="Q27" s="3"/>
    </row>
    <row r="28" spans="1:17" ht="17" x14ac:dyDescent="0.4">
      <c r="A28" s="3"/>
      <c r="B28" s="3"/>
      <c r="C28" s="3"/>
      <c r="D28" s="3"/>
      <c r="E28" s="3"/>
      <c r="F28" s="3"/>
      <c r="G28" s="3"/>
      <c r="H28" s="3"/>
      <c r="I28" s="3"/>
      <c r="J28" s="3"/>
      <c r="K28" s="3"/>
      <c r="L28" s="3"/>
      <c r="M28" s="3"/>
      <c r="N28" s="3"/>
      <c r="O28" s="3"/>
      <c r="P28" s="3"/>
      <c r="Q28" s="3"/>
    </row>
    <row r="29" spans="1:17" ht="17" x14ac:dyDescent="0.4">
      <c r="A29" s="3"/>
      <c r="B29" s="3"/>
      <c r="C29" s="3"/>
      <c r="D29" s="3"/>
      <c r="E29" s="3"/>
      <c r="F29" s="3"/>
      <c r="G29" s="3"/>
      <c r="H29" s="3"/>
      <c r="I29" s="3"/>
      <c r="J29" s="3"/>
      <c r="K29" s="3"/>
      <c r="L29" s="3"/>
      <c r="M29" s="3"/>
      <c r="N29" s="3"/>
      <c r="O29" s="3"/>
      <c r="P29" s="3"/>
      <c r="Q29" s="3"/>
    </row>
    <row r="30" spans="1:17" ht="17" x14ac:dyDescent="0.4">
      <c r="A30" s="3"/>
      <c r="B30" s="3"/>
      <c r="C30" s="3"/>
      <c r="D30" s="3"/>
      <c r="E30" s="3"/>
      <c r="F30" s="3"/>
      <c r="G30" s="3"/>
      <c r="H30" s="3"/>
      <c r="I30" s="3"/>
      <c r="J30" s="3"/>
      <c r="K30" s="3"/>
      <c r="L30" s="3"/>
      <c r="M30" s="3"/>
      <c r="N30" s="3"/>
      <c r="O30" s="3"/>
      <c r="P30" s="3"/>
      <c r="Q30" s="3"/>
    </row>
    <row r="31" spans="1:17" ht="17" x14ac:dyDescent="0.4">
      <c r="A31" s="3"/>
      <c r="B31" s="3"/>
      <c r="C31" s="3"/>
      <c r="D31" s="3"/>
      <c r="E31" s="3"/>
      <c r="F31" s="3"/>
      <c r="G31" s="3"/>
      <c r="H31" s="3"/>
      <c r="I31" s="3"/>
      <c r="J31" s="3"/>
      <c r="K31" s="3"/>
      <c r="L31" s="3"/>
      <c r="M31" s="3"/>
      <c r="N31" s="3"/>
      <c r="O31" s="3"/>
      <c r="P31" s="3"/>
      <c r="Q31" s="3"/>
    </row>
    <row r="32" spans="1:17" ht="17" x14ac:dyDescent="0.4">
      <c r="A32" s="3"/>
      <c r="B32" s="3"/>
      <c r="C32" s="3"/>
      <c r="D32" s="3"/>
      <c r="E32" s="3"/>
      <c r="F32" s="3"/>
      <c r="G32" s="3"/>
      <c r="H32" s="3"/>
      <c r="I32" s="3"/>
      <c r="J32" s="3"/>
      <c r="K32" s="3"/>
      <c r="L32" s="3"/>
      <c r="M32" s="3"/>
      <c r="N32" s="3"/>
      <c r="O32" s="3"/>
      <c r="P32" s="3"/>
      <c r="Q32" s="3"/>
    </row>
    <row r="33" spans="1:17" ht="17" x14ac:dyDescent="0.4">
      <c r="A33" s="3"/>
      <c r="B33" s="3"/>
      <c r="C33" s="3"/>
      <c r="D33" s="3"/>
      <c r="E33" s="3"/>
      <c r="F33" s="3"/>
      <c r="G33" s="3"/>
      <c r="H33" s="3"/>
      <c r="I33" s="3"/>
      <c r="J33" s="3"/>
      <c r="K33" s="3"/>
      <c r="L33" s="3"/>
      <c r="M33" s="3"/>
      <c r="N33" s="3"/>
      <c r="O33" s="3"/>
      <c r="P33" s="3"/>
      <c r="Q33" s="3"/>
    </row>
    <row r="34" spans="1:17" ht="17" x14ac:dyDescent="0.4">
      <c r="A34" s="5"/>
      <c r="B34" s="5"/>
      <c r="C34" s="5"/>
      <c r="D34" s="5"/>
      <c r="E34" s="5"/>
      <c r="F34" s="3"/>
      <c r="G34" s="3"/>
      <c r="H34" s="3"/>
      <c r="I34" s="3"/>
      <c r="J34" s="3"/>
      <c r="K34" s="3"/>
      <c r="L34" s="3"/>
      <c r="M34" s="3"/>
      <c r="N34" s="3"/>
      <c r="O34" s="3"/>
      <c r="P34" s="3"/>
      <c r="Q34" s="3"/>
    </row>
    <row r="35" spans="1:17" ht="17" x14ac:dyDescent="0.4">
      <c r="A35" s="3"/>
      <c r="B35" s="3"/>
      <c r="C35" s="3"/>
      <c r="D35" s="3"/>
      <c r="E35" s="3"/>
      <c r="F35" s="3"/>
      <c r="G35" s="3"/>
      <c r="H35" s="3"/>
      <c r="I35" s="3"/>
      <c r="J35" s="3"/>
      <c r="K35" s="3"/>
      <c r="L35" s="3"/>
      <c r="M35" s="3"/>
      <c r="N35" s="3"/>
      <c r="O35" s="3"/>
      <c r="P35" s="3"/>
      <c r="Q35" s="3"/>
    </row>
    <row r="36" spans="1:17" ht="17" x14ac:dyDescent="0.4">
      <c r="A36" s="3"/>
      <c r="B36" s="3"/>
      <c r="C36" s="3"/>
      <c r="D36" s="3"/>
      <c r="E36" s="3"/>
      <c r="F36" s="3"/>
      <c r="G36" s="3"/>
      <c r="H36" s="3"/>
      <c r="I36" s="3"/>
      <c r="J36" s="3"/>
      <c r="K36" s="3"/>
      <c r="L36" s="3"/>
      <c r="M36" s="3"/>
      <c r="N36" s="3"/>
      <c r="O36" s="3"/>
      <c r="P36" s="3"/>
      <c r="Q36" s="3"/>
    </row>
    <row r="37" spans="1:17" ht="17" x14ac:dyDescent="0.4">
      <c r="A37" s="3"/>
      <c r="B37" s="3"/>
      <c r="C37" s="3"/>
      <c r="D37" s="3"/>
      <c r="E37" s="3"/>
      <c r="F37" s="3"/>
      <c r="G37" s="3"/>
      <c r="H37" s="3"/>
      <c r="I37" s="3"/>
      <c r="J37" s="3"/>
      <c r="K37" s="3"/>
      <c r="L37" s="3"/>
      <c r="M37" s="3"/>
      <c r="N37" s="3"/>
      <c r="O37" s="3"/>
      <c r="P37" s="3"/>
      <c r="Q37" s="3"/>
    </row>
    <row r="38" spans="1:17" ht="17" x14ac:dyDescent="0.4">
      <c r="A38" s="3"/>
      <c r="B38" s="3"/>
      <c r="C38" s="3"/>
      <c r="D38" s="3"/>
      <c r="E38" s="3"/>
      <c r="F38" s="3"/>
      <c r="G38" s="3"/>
      <c r="H38" s="3"/>
      <c r="I38" s="3"/>
      <c r="J38" s="3"/>
      <c r="K38" s="3"/>
      <c r="L38" s="3"/>
      <c r="M38" s="3"/>
      <c r="N38" s="3"/>
      <c r="O38" s="3"/>
      <c r="P38" s="3"/>
      <c r="Q38" s="3"/>
    </row>
    <row r="39" spans="1:17" ht="17" x14ac:dyDescent="0.4">
      <c r="A39" s="3"/>
      <c r="B39" s="3"/>
      <c r="C39" s="3"/>
      <c r="D39" s="3"/>
      <c r="E39" s="3"/>
      <c r="F39" s="3"/>
      <c r="G39" s="3"/>
      <c r="H39" s="3"/>
      <c r="I39" s="3"/>
      <c r="J39" s="3"/>
      <c r="K39" s="3"/>
      <c r="L39" s="3"/>
      <c r="M39" s="3"/>
      <c r="N39" s="3"/>
      <c r="O39" s="3"/>
      <c r="P39" s="3"/>
      <c r="Q39" s="3"/>
    </row>
    <row r="40" spans="1:17" ht="17" x14ac:dyDescent="0.4">
      <c r="A40" s="3"/>
      <c r="B40" s="3"/>
      <c r="C40" s="3"/>
      <c r="D40" s="3"/>
      <c r="E40" s="3"/>
      <c r="F40" s="3"/>
      <c r="G40" s="3"/>
      <c r="H40" s="3"/>
      <c r="I40" s="3"/>
      <c r="J40" s="3"/>
      <c r="K40" s="3"/>
      <c r="L40" s="3"/>
      <c r="M40" s="3"/>
      <c r="N40" s="3"/>
      <c r="O40" s="3"/>
      <c r="P40" s="3"/>
      <c r="Q40" s="3"/>
    </row>
    <row r="41" spans="1:17" ht="17" x14ac:dyDescent="0.4">
      <c r="A41" s="3"/>
      <c r="B41" s="3"/>
      <c r="C41" s="3"/>
      <c r="D41" s="3"/>
      <c r="E41" s="3"/>
      <c r="F41" s="3"/>
      <c r="G41" s="3"/>
      <c r="H41" s="3"/>
      <c r="I41" s="3"/>
      <c r="J41" s="3"/>
      <c r="K41" s="3"/>
      <c r="L41" s="3"/>
      <c r="M41" s="3"/>
      <c r="N41" s="3"/>
      <c r="O41" s="3"/>
      <c r="P41" s="3"/>
      <c r="Q41" s="3"/>
    </row>
    <row r="42" spans="1:17" ht="17" x14ac:dyDescent="0.4">
      <c r="A42" s="4"/>
      <c r="B42" s="4"/>
      <c r="C42" s="4"/>
      <c r="D42" s="4"/>
      <c r="E42" s="4"/>
      <c r="F42" s="4"/>
      <c r="G42" s="4"/>
      <c r="H42" s="4"/>
      <c r="I42" s="4"/>
      <c r="J42" s="4"/>
      <c r="K42" s="4"/>
      <c r="L42" s="4"/>
      <c r="M42" s="4"/>
      <c r="N42" s="4"/>
      <c r="O42" s="4"/>
      <c r="P42" s="4"/>
      <c r="Q42" s="4"/>
    </row>
    <row r="43" spans="1:17" ht="17" x14ac:dyDescent="0.4">
      <c r="A43" s="4"/>
      <c r="B43" s="4"/>
      <c r="C43" s="4"/>
      <c r="D43" s="4"/>
      <c r="E43" s="4"/>
      <c r="F43" s="4"/>
      <c r="G43" s="4"/>
      <c r="H43" s="4"/>
      <c r="I43" s="4"/>
      <c r="J43" s="4"/>
      <c r="K43" s="4"/>
      <c r="L43" s="4"/>
      <c r="M43" s="4"/>
      <c r="N43" s="4"/>
      <c r="O43" s="4"/>
      <c r="P43" s="4"/>
      <c r="Q43" s="4"/>
    </row>
    <row r="44" spans="1:17" ht="17" x14ac:dyDescent="0.4">
      <c r="A44" s="4"/>
      <c r="B44" s="4"/>
      <c r="C44" s="4"/>
      <c r="D44" s="4"/>
      <c r="E44" s="4"/>
      <c r="F44" s="4"/>
      <c r="G44" s="4"/>
      <c r="H44" s="4"/>
      <c r="I44" s="4"/>
      <c r="J44" s="4"/>
      <c r="K44" s="4"/>
      <c r="L44" s="4"/>
      <c r="M44" s="4"/>
      <c r="N44" s="4"/>
      <c r="O44" s="4"/>
      <c r="P44" s="4"/>
      <c r="Q44" s="4"/>
    </row>
  </sheetData>
  <autoFilter ref="A1:E1" xr:uid="{53CC98DF-CB20-4309-A9A2-0C089944AB6E}">
    <sortState xmlns:xlrd2="http://schemas.microsoft.com/office/spreadsheetml/2017/richdata2" ref="A2:E1">
      <sortCondition ref="A1"/>
    </sortState>
  </autoFilter>
  <phoneticPr fontId="1" type="noConversion"/>
  <printOptions horizontalCentered="1"/>
  <pageMargins left="0.25" right="0.25" top="0.75" bottom="0.75" header="0.3" footer="0.3"/>
  <pageSetup scale="80" orientation="landscape" horizontalDpi="300" verticalDpi="300" r:id="rId1"/>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Theme parks</vt:lpstr>
      <vt:lpstr>'Theme parks'!Print_Area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2024-06-17T03:46:28Z</cp:lastPrinted>
  <dcterms:created xsi:type="dcterms:W3CDTF">2024-03-17T21:07:34Z</dcterms:created>
  <dcterms:modified xsi:type="dcterms:W3CDTF">2024-07-05T15:20:30Z</dcterms:modified>
</cp:coreProperties>
</file>