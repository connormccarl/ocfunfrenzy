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1" documentId="8_{BC9070D6-8A3F-4D4A-A8DC-CD451320C4CE}" xr6:coauthVersionLast="47" xr6:coauthVersionMax="47" xr10:uidLastSave="{7BA18999-FDEC-4E04-9693-DC2BA5EAE84B}"/>
  <bookViews>
    <workbookView xWindow="-110" yWindow="-110" windowWidth="19420" windowHeight="11500" xr2:uid="{3F4AF157-4EA4-44F9-9369-4ED39BF1C451}"/>
  </bookViews>
  <sheets>
    <sheet name="Animal" sheetId="1" r:id="rId1"/>
  </sheets>
  <definedNames>
    <definedName name="_xlnm._FilterDatabase" localSheetId="0" hidden="1">Animal!$A$1:$E$1</definedName>
    <definedName name="_xlnm.Print_Area" localSheetId="0">Animal!$A$1:$E$1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1" l="1"/>
  <c r="O3" i="1"/>
  <c r="O4" i="1"/>
  <c r="O5" i="1"/>
  <c r="O6" i="1"/>
  <c r="O7" i="1"/>
  <c r="O8" i="1"/>
  <c r="O9" i="1"/>
  <c r="O10" i="1"/>
  <c r="O11" i="1"/>
  <c r="O12" i="1"/>
  <c r="O13" i="1"/>
  <c r="O14" i="1"/>
  <c r="K4" i="1"/>
  <c r="K5" i="1" s="1"/>
  <c r="K6" i="1" s="1"/>
  <c r="K7" i="1" s="1"/>
  <c r="K8" i="1" s="1"/>
  <c r="K9" i="1" s="1"/>
  <c r="K10" i="1" s="1"/>
  <c r="K11" i="1" s="1"/>
  <c r="K12" i="1" s="1"/>
  <c r="E3" i="1"/>
  <c r="E4" i="1"/>
  <c r="E5" i="1"/>
  <c r="E6" i="1"/>
  <c r="E7" i="1"/>
  <c r="E8" i="1"/>
  <c r="E9" i="1"/>
  <c r="E10" i="1"/>
  <c r="E11" i="1"/>
  <c r="E12" i="1"/>
  <c r="E13" i="1"/>
  <c r="E2" i="1"/>
  <c r="K13" i="1" l="1"/>
  <c r="Q2" i="1"/>
  <c r="O2" i="1"/>
  <c r="L4" i="1" l="1"/>
  <c r="L5" i="1" s="1"/>
  <c r="L6" i="1" s="1"/>
  <c r="L7" i="1" s="1"/>
  <c r="L8" i="1" s="1"/>
  <c r="L9" i="1" s="1"/>
  <c r="L10" i="1" s="1"/>
  <c r="L11" i="1" s="1"/>
  <c r="L12" i="1" s="1"/>
  <c r="L13" i="1" l="1"/>
  <c r="Q3" i="1"/>
  <c r="N5" i="1" l="1"/>
  <c r="Q4" i="1"/>
  <c r="Q5" i="1" l="1"/>
  <c r="N7" i="1" l="1"/>
  <c r="N8" i="1" l="1"/>
  <c r="Q7" i="1"/>
  <c r="N9" i="1" l="1"/>
  <c r="Q8" i="1"/>
  <c r="N10" i="1" l="1"/>
  <c r="Q9" i="1"/>
  <c r="N11" i="1" l="1"/>
  <c r="Q10" i="1"/>
  <c r="N12" i="1" l="1"/>
  <c r="Q11" i="1"/>
  <c r="Q12" i="1" l="1"/>
</calcChain>
</file>

<file path=xl/sharedStrings.xml><?xml version="1.0" encoding="utf-8"?>
<sst xmlns="http://schemas.openxmlformats.org/spreadsheetml/2006/main" count="143" uniqueCount="106">
  <si>
    <t>Event</t>
  </si>
  <si>
    <t>Focus Keyphrase</t>
  </si>
  <si>
    <t>Zip code</t>
  </si>
  <si>
    <t>Event location</t>
  </si>
  <si>
    <t>Registration email/URL</t>
  </si>
  <si>
    <t>Start date</t>
  </si>
  <si>
    <t>End date</t>
  </si>
  <si>
    <t>Event category</t>
  </si>
  <si>
    <t>Event type</t>
  </si>
  <si>
    <t>Event thumbnail</t>
  </si>
  <si>
    <t>Banner name
(in folder, to upload)</t>
  </si>
  <si>
    <t>Family fun</t>
  </si>
  <si>
    <t>Title</t>
  </si>
  <si>
    <t>Top Box</t>
  </si>
  <si>
    <t>Meta Description 
(160 max words)</t>
  </si>
  <si>
    <t>Cell count</t>
  </si>
  <si>
    <t>Event category
(only 1)</t>
  </si>
  <si>
    <t>1 Irvine Park Rd, Orange, CA</t>
  </si>
  <si>
    <t>Orange county zoo</t>
  </si>
  <si>
    <t xml:space="preserve">Santa ana zoo </t>
  </si>
  <si>
    <t>Zoomars @ rivers street ranch</t>
  </si>
  <si>
    <t>The reptile zoo - Fountain valley</t>
  </si>
  <si>
    <t>Pacific marine mammal center</t>
  </si>
  <si>
    <t>Orange coast college - dennis kelley</t>
  </si>
  <si>
    <t>Tide pool and aquarium - dana pt</t>
  </si>
  <si>
    <t>Aquarium of the pacific</t>
  </si>
  <si>
    <t>Aquarium of the Pacific</t>
  </si>
  <si>
    <t>100 Aquarium Way, Long Beach, CA </t>
  </si>
  <si>
    <t>Aquarium of the pac</t>
  </si>
  <si>
    <t>Aquarium</t>
  </si>
  <si>
    <t>Goods</t>
  </si>
  <si>
    <t>Koi</t>
  </si>
  <si>
    <t>https://www.aquariumofpacific.org/</t>
  </si>
  <si>
    <t>Date, family, flying, group</t>
  </si>
  <si>
    <t>Animals &amp; Aquariums</t>
  </si>
  <si>
    <t>The Aquarium of the Pacific is Southern California’s largest Aquarium. It displays about 12,000 animals and more than 100 exhibits that celebrate the planet’s largest and most diverse body of water, the Pacific Ocean. Its galleries represent the frigid waters of the Northern Pacific, the temperate Southern California/Baja region, and the warm coral reefs and lagoons of the Tropical Pacific.</t>
  </si>
  <si>
    <t>The Aquarium of the Pacific is Southern California’s largest Aquarium. It displays about 12,000 animals &amp; 100+ exhibits.</t>
  </si>
  <si>
    <t>Animal</t>
  </si>
  <si>
    <t>Family</t>
  </si>
  <si>
    <t>https://ocfair.com/centennial-farm/</t>
  </si>
  <si>
    <t>Centennial farm</t>
  </si>
  <si>
    <t>Centennial Animal Farm</t>
  </si>
  <si>
    <t>Centennial Farm is a three-acre working farm at OC Fair &amp; Event Center. Fairgoers can access the animal farm with paid OC Fair admission, July 19 – Aug. 18.</t>
  </si>
  <si>
    <t>Centennial Farm is a three-acre working farm at OC Fair &amp; Event Center. Created to educate youth about agriculture and its importance to daily life. Centennial Farm is home to fruit and vegetable gardens, animal livestock and the Millennium Barn. Two youth educational tour programs are offered – Discovery Days and Junior Farmer Tours – as well as year-round daily hours so the public can visit the farm. Fairgoers can access the farm with paid OC Fair admission, July 19 – Aug. 18.</t>
  </si>
  <si>
    <t>88 Fair Drive, Costa Mesa, CA</t>
  </si>
  <si>
    <t>https://goodsandgoatsmarket.com/collections/playtime-at-the-farm</t>
  </si>
  <si>
    <t xml:space="preserve">Goods &amp; goats market </t>
  </si>
  <si>
    <t>29458 Trabuco Creek Road San Juan Capistrano, CA.</t>
  </si>
  <si>
    <t>Goods &amp; Goats Animal Farm</t>
  </si>
  <si>
    <t>Family, date night, flying solo, group</t>
  </si>
  <si>
    <t>Goods &amp; Goats Animal Farm have so many amazing, friendly farm animals to cuddle, pet, &amp; play with. It's an experience that creates cherished memories for everyone. There's a petting zoo, crafts, storytime and a gift boutique.</t>
  </si>
  <si>
    <t>Goods &amp; Goats Animal Farm have so many amazing, friendly farm animals to cuddle, pet, &amp; play with. There's a petting zoo, crafts, storytime and a gift boutique.</t>
  </si>
  <si>
    <t>401 Newport Center Dr, Newport Beach, CA</t>
  </si>
  <si>
    <t>https://www.tripadvisor.com/LocationPhotoDirectLink-g32780-i368126157-Newport_Beach_California.html</t>
  </si>
  <si>
    <t>Koi Pond Aquarium @ Fashion Island</t>
  </si>
  <si>
    <t>Koi pond @ fashion island</t>
  </si>
  <si>
    <t>The lovely koi pond at Fashion Island in Newport Beach, Southern California! These are some of the biggest, most beautiful koi fish I have ever seen. I always just want to call them carps or carpers but these are a breed apart. They seem very happy in this well maintained pond.</t>
  </si>
  <si>
    <t xml:space="preserve">The lovely koi pond at Fashion Island in Newport Beach, Southern California! These are some of the biggest, most beautiful koi fish I have ever seen. </t>
  </si>
  <si>
    <t>Orange County Zoo</t>
  </si>
  <si>
    <t>Santa Ana Zoo</t>
  </si>
  <si>
    <t>https://orangecoastcollege.edu/academics/math-sciences/marine-science/aquarium/</t>
  </si>
  <si>
    <t>Orange Coast College Aquarium</t>
  </si>
  <si>
    <t>The Dennis Kelly Public Aquarium at Orange Coast College is one of the cornerstones of the Marine Science Department. This versatile resource is a unique training and community education facility where students get hands-on experience working with a remarkably diverse collection of aquatic organisms. </t>
  </si>
  <si>
    <t>Aquarium at Orange Coast College is a community education facility where you get hands-on experience working with a collection of aquatic organisms. </t>
  </si>
  <si>
    <t>Lewis Center, 2701 Fairview Rd, Costa Mesa, CA </t>
  </si>
  <si>
    <t>Orange Coast</t>
  </si>
  <si>
    <t>Orange County Animal Zoo</t>
  </si>
  <si>
    <t>https://www.ocparks.com/oc-zoo</t>
  </si>
  <si>
    <t>The Orange County Animal Zoo is a small 8-acre zoo located within the 477-acre Irvine Regional Park in the city of Orange, California, United States. The zoo is mainly home to animals and plants that are native to the Southwestern United States. </t>
  </si>
  <si>
    <t xml:space="preserve">The Orange County Animal Zoo is a small 8-acre zoo located within the 477-acre Irvine Regional Park in the city of Orange, CA. </t>
  </si>
  <si>
    <t>20612 Laguna Canyon Rd, Laguna Beach, CA</t>
  </si>
  <si>
    <t>Pacific Marine</t>
  </si>
  <si>
    <t>Pacific Marine Animal Mammal Center</t>
  </si>
  <si>
    <t>https://www.pacificmmc.org/</t>
  </si>
  <si>
    <t xml:space="preserve">The Pacific Marine Animal Mammal Center is a rescue center for sea lions &amp; seals, with pre-booked educational tours &amp; a butterfly garden. Pacific Marine Mammal Center is a marine mammal hospital leading in veterinary research, STEM education, and ocean conservation efforts. </t>
  </si>
  <si>
    <t xml:space="preserve">The Pacific Marine Animal Mammal Center is a rescue center for sea lions &amp; seals, with pre-booked educational tours &amp; a butterfly garden. </t>
  </si>
  <si>
    <t>1801 E Chestnut Ave, Santa Ana, CA </t>
  </si>
  <si>
    <t>The Santa Ana Animal Zoo at Prentice Park in Santa Ana, California, is a 20-acre zoo focusing on the animals and plants of Central and South America. </t>
  </si>
  <si>
    <t>Santa Ana Animal Zoo</t>
  </si>
  <si>
    <t>https://www.santaanazoo.org/</t>
  </si>
  <si>
    <t>The Tanaka Animal Farm Barnyard is home to chickens, donkeys, goats, sheep, turkeys, a pig, a pony, and even a mini cow! Unlike a petting zoo, where the animals can get frightened, abused, and sick…Shelmarie has designed an educational experience where the kids (and adults!) can visit with the animals in a safe environment.</t>
  </si>
  <si>
    <t>https://www.tanakafarms.com/barnyard</t>
  </si>
  <si>
    <t>Tanaka Animal Farm Barnyard</t>
  </si>
  <si>
    <t>Tanaka farms - barnyard</t>
  </si>
  <si>
    <t>Tanaka Animal Farm Barnyard is home to chickens, donkeys, goats, sheep, turkeys, a pig, a pony, and a mini cow! The majority are rescued farm animals.</t>
  </si>
  <si>
    <t>5380 3/4 University Dr, Irvine, CA</t>
  </si>
  <si>
    <t>Tanaka animal</t>
  </si>
  <si>
    <t>The Reptile Animal Zoo is an indoor zoo focusing on reptiles in Fountain Valley, California. Fish, amphibians, and arachnids are also on display. It contains the pet store Prehistoric Pets, which sells items targeted towards reptile owners. Almost 200,000 people have visited the zoo since its founding.</t>
  </si>
  <si>
    <t>The Reptile Animal Zoo</t>
  </si>
  <si>
    <t>The Reptile Animal Zoo is an indoor zoo focusing on reptiles in Fountain Valley, California. Fish, amphibians, and arachnids are also on display.</t>
  </si>
  <si>
    <t>18818 Brookhurst St, Fountain Valley, CA </t>
  </si>
  <si>
    <t>The Reptile</t>
  </si>
  <si>
    <t>https://prehistoric-inc.square.site/</t>
  </si>
  <si>
    <t>https://funorangecountyparks.com/dana-point-tidepools-marine-protected-conservation.html</t>
  </si>
  <si>
    <t>Animal Tide Pool - Dana Point</t>
  </si>
  <si>
    <t>The Dana Point animal tide pool is where a variety of tide pool animals can be found take a look at some of the large rocks on the beach. Just as you reach the beach area. They are covered in mussels limb bits and a few barnacles.</t>
  </si>
  <si>
    <t>The Dana Point animal tide pool is where a variety of tide pool animals can be found take a look at some of the large rocks on the beach.</t>
  </si>
  <si>
    <t>24200 Dana Point Harbor Dr, Dana Point, CA</t>
  </si>
  <si>
    <t>Tidepool dana point</t>
  </si>
  <si>
    <t>31791 Los Rios St, San Juan Capistrano, CA</t>
  </si>
  <si>
    <t>https://riverstreetranch.com/</t>
  </si>
  <si>
    <t>Rivers street</t>
  </si>
  <si>
    <t>Rivers Street Ranch has 100 Horses, Goats, Sheep, Pigs, Chickens, a Llama, an Alpaca. 6 attractions from pony, tractor rides, train rides to mining &amp; digging.</t>
  </si>
  <si>
    <t>Zoomars at Rivers Street Animal Ranch</t>
  </si>
  <si>
    <t>Zoomars at Rivers Street Ranch is located in the Los Rios Historic District, circa 1775, of San Juan Capistrano, River Street Ranch is ideal for a good, old-fashioned day. 100 Horses, Guinea Pigs, Goats, Sheep, Pigs, Chickens, a Llama, an Alpaca, Llampaca and an Emu. 6 attractions from pony, tractor rides, train rides to mining and digging, we have activities to entertain the whole family.</t>
  </si>
  <si>
    <t>Animal &amp; Aquariums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</si>
</sst>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8"/>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0"/>
      <color rgb="FF212529"/>
      <name val="Ff-tisa-web-pro"/>
    </font>
    <font>
      <sz val="11"/>
      <color rgb="FF5E5E5E"/>
      <name val="Arial"/>
      <family val="2"/>
    </font>
    <font>
      <sz val="9"/>
      <color rgb="FF1B1B1B"/>
      <name val="Arial"/>
      <family val="2"/>
    </font>
    <font>
      <sz val="8"/>
      <color rgb="FF38383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3" borderId="1" xfId="0" applyFont="1" applyFill="1" applyBorder="1" applyAlignment="1">
      <alignment horizontal="center"/>
    </xf>
    <xf numFmtId="0" fontId="3" fillId="0" borderId="1" xfId="0" applyFont="1" applyBorder="1"/>
    <xf numFmtId="0" fontId="3" fillId="2" borderId="1" xfId="0" applyFont="1" applyFill="1" applyBorder="1"/>
    <xf numFmtId="0" fontId="3" fillId="0" borderId="0" xfId="0" applyFont="1"/>
    <xf numFmtId="0" fontId="2" fillId="2" borderId="1" xfId="0" applyFont="1" applyFill="1" applyBorder="1"/>
    <xf numFmtId="14" fontId="3" fillId="2" borderId="1" xfId="0" applyNumberFormat="1" applyFont="1" applyFill="1" applyBorder="1"/>
    <xf numFmtId="0" fontId="3" fillId="2" borderId="1" xfId="0" applyFont="1" applyFill="1" applyBorder="1" applyAlignment="1">
      <alignment wrapText="1"/>
    </xf>
    <xf numFmtId="0" fontId="3" fillId="0" borderId="1" xfId="0" applyFont="1" applyBorder="1" applyAlignment="1">
      <alignment wrapText="1"/>
    </xf>
    <xf numFmtId="0" fontId="2" fillId="3" borderId="1" xfId="0" applyFont="1" applyFill="1" applyBorder="1" applyAlignment="1">
      <alignment horizontal="center" wrapText="1"/>
    </xf>
    <xf numFmtId="0" fontId="3" fillId="2" borderId="1" xfId="0" applyFont="1" applyFill="1" applyBorder="1" applyAlignment="1">
      <alignment horizontal="left"/>
    </xf>
    <xf numFmtId="0" fontId="4" fillId="3" borderId="1" xfId="0" applyFont="1" applyFill="1" applyBorder="1" applyAlignment="1">
      <alignment horizontal="center" wrapText="1"/>
    </xf>
    <xf numFmtId="0" fontId="3" fillId="2" borderId="1" xfId="0" applyFont="1" applyFill="1" applyBorder="1" applyAlignment="1">
      <alignment horizontal="left" wrapText="1"/>
    </xf>
    <xf numFmtId="0" fontId="5" fillId="0" borderId="1" xfId="0" applyFont="1" applyBorder="1" applyAlignment="1">
      <alignment wrapText="1"/>
    </xf>
    <xf numFmtId="0" fontId="6" fillId="0" borderId="1" xfId="0" applyFont="1" applyBorder="1" applyAlignment="1">
      <alignment vertical="center" wrapText="1"/>
    </xf>
    <xf numFmtId="0" fontId="7" fillId="0" borderId="1" xfId="0" applyFont="1" applyBorder="1" applyAlignment="1">
      <alignment wrapText="1"/>
    </xf>
    <xf numFmtId="0" fontId="8"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98DF-CB20-4309-A9A2-0C089944AB6E}">
  <dimension ref="A1:Q36"/>
  <sheetViews>
    <sheetView tabSelected="1" topLeftCell="A3" zoomScale="70" zoomScaleNormal="70" workbookViewId="0">
      <selection activeCell="A8" sqref="A8"/>
    </sheetView>
  </sheetViews>
  <sheetFormatPr defaultRowHeight="14.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customWidth="1"/>
    <col min="12" max="12" width="11.26953125" customWidth="1"/>
    <col min="13" max="13" width="23" customWidth="1"/>
    <col min="14" max="14" width="19.26953125" customWidth="1"/>
    <col min="15" max="15" width="25.6328125" customWidth="1"/>
    <col min="16" max="16" width="22.453125" customWidth="1"/>
    <col min="17" max="17" width="21" customWidth="1"/>
    <col min="18" max="18" width="22.1796875" customWidth="1"/>
  </cols>
  <sheetData>
    <row r="1" spans="1:17" ht="34">
      <c r="A1" s="1" t="s">
        <v>0</v>
      </c>
      <c r="B1" s="1" t="s">
        <v>12</v>
      </c>
      <c r="C1" s="1" t="s">
        <v>13</v>
      </c>
      <c r="D1" s="9" t="s">
        <v>14</v>
      </c>
      <c r="E1" s="11" t="s">
        <v>15</v>
      </c>
      <c r="F1" s="1" t="s">
        <v>1</v>
      </c>
      <c r="G1" s="1" t="s">
        <v>2</v>
      </c>
      <c r="H1" s="1" t="s">
        <v>3</v>
      </c>
      <c r="I1" s="9" t="s">
        <v>10</v>
      </c>
      <c r="J1" s="1" t="s">
        <v>4</v>
      </c>
      <c r="K1" s="1" t="s">
        <v>5</v>
      </c>
      <c r="L1" s="1" t="s">
        <v>6</v>
      </c>
      <c r="M1" s="1" t="s">
        <v>7</v>
      </c>
      <c r="N1" s="1" t="s">
        <v>8</v>
      </c>
      <c r="O1" s="1" t="s">
        <v>9</v>
      </c>
      <c r="P1" s="9" t="s">
        <v>16</v>
      </c>
      <c r="Q1" s="1" t="s">
        <v>8</v>
      </c>
    </row>
    <row r="2" spans="1:17" ht="126.5">
      <c r="A2" s="3" t="s">
        <v>25</v>
      </c>
      <c r="B2" s="7" t="s">
        <v>26</v>
      </c>
      <c r="C2" s="13" t="s">
        <v>35</v>
      </c>
      <c r="D2" s="13" t="s">
        <v>36</v>
      </c>
      <c r="E2" s="7">
        <f t="shared" ref="E2:E13" si="0">LEN(D2)</f>
        <v>120</v>
      </c>
      <c r="F2" s="3" t="s">
        <v>29</v>
      </c>
      <c r="G2" s="12">
        <v>90802</v>
      </c>
      <c r="H2" s="7" t="s">
        <v>27</v>
      </c>
      <c r="I2" s="3" t="s">
        <v>28</v>
      </c>
      <c r="J2" s="7" t="s">
        <v>32</v>
      </c>
      <c r="K2" s="6">
        <v>45444</v>
      </c>
      <c r="L2" s="6">
        <v>410686</v>
      </c>
      <c r="M2" s="7" t="s">
        <v>33</v>
      </c>
      <c r="N2" s="7" t="s">
        <v>34</v>
      </c>
      <c r="O2" s="2" t="str">
        <f>I2</f>
        <v>Aquarium of the pac</v>
      </c>
      <c r="P2" s="8" t="s">
        <v>11</v>
      </c>
      <c r="Q2" s="7" t="str">
        <f>N2</f>
        <v>Animals &amp; Aquariums</v>
      </c>
    </row>
    <row r="3" spans="1:17" ht="182">
      <c r="A3" s="3" t="s">
        <v>40</v>
      </c>
      <c r="B3" s="8" t="s">
        <v>41</v>
      </c>
      <c r="C3" s="14" t="s">
        <v>43</v>
      </c>
      <c r="D3" s="14" t="s">
        <v>42</v>
      </c>
      <c r="E3" s="7">
        <f t="shared" si="0"/>
        <v>156</v>
      </c>
      <c r="F3" s="3" t="s">
        <v>37</v>
      </c>
      <c r="G3" s="12">
        <v>92626</v>
      </c>
      <c r="H3" s="7" t="s">
        <v>44</v>
      </c>
      <c r="I3" s="3" t="s">
        <v>40</v>
      </c>
      <c r="J3" s="7" t="s">
        <v>39</v>
      </c>
      <c r="K3" s="6">
        <v>45492</v>
      </c>
      <c r="L3" s="6">
        <v>45523</v>
      </c>
      <c r="M3" s="7" t="s">
        <v>38</v>
      </c>
      <c r="N3" s="7" t="s">
        <v>105</v>
      </c>
      <c r="O3" s="2" t="str">
        <f t="shared" ref="O3:O14" si="1">I3</f>
        <v>Centennial farm</v>
      </c>
      <c r="P3" s="8" t="s">
        <v>11</v>
      </c>
      <c r="Q3" s="7" t="str">
        <f t="shared" ref="Q3:Q13" si="2">N3</f>
        <v>Animal &amp; Aquariums</v>
      </c>
    </row>
    <row r="4" spans="1:17" ht="59">
      <c r="A4" s="2" t="s">
        <v>46</v>
      </c>
      <c r="B4" s="7" t="s">
        <v>48</v>
      </c>
      <c r="C4" s="15" t="s">
        <v>50</v>
      </c>
      <c r="D4" s="15" t="s">
        <v>51</v>
      </c>
      <c r="E4" s="7">
        <f t="shared" si="0"/>
        <v>160</v>
      </c>
      <c r="F4" s="7" t="s">
        <v>37</v>
      </c>
      <c r="G4" s="10">
        <v>92675</v>
      </c>
      <c r="H4" s="7" t="s">
        <v>47</v>
      </c>
      <c r="I4" s="3" t="s">
        <v>30</v>
      </c>
      <c r="J4" s="7" t="s">
        <v>45</v>
      </c>
      <c r="K4" s="6" t="e">
        <f>#REF!</f>
        <v>#REF!</v>
      </c>
      <c r="L4" s="6" t="e">
        <f>#REF!</f>
        <v>#REF!</v>
      </c>
      <c r="M4" s="7" t="s">
        <v>49</v>
      </c>
      <c r="N4" s="7" t="s">
        <v>105</v>
      </c>
      <c r="O4" s="2" t="str">
        <f t="shared" si="1"/>
        <v>Goods</v>
      </c>
      <c r="P4" s="8" t="s">
        <v>11</v>
      </c>
      <c r="Q4" s="7" t="str">
        <f t="shared" si="2"/>
        <v>Animal &amp; Aquariums</v>
      </c>
    </row>
    <row r="5" spans="1:17" ht="70.5">
      <c r="A5" s="3" t="s">
        <v>55</v>
      </c>
      <c r="B5" s="7" t="s">
        <v>54</v>
      </c>
      <c r="C5" s="15" t="s">
        <v>56</v>
      </c>
      <c r="D5" s="15" t="s">
        <v>57</v>
      </c>
      <c r="E5" s="7">
        <f t="shared" si="0"/>
        <v>150</v>
      </c>
      <c r="F5" s="3" t="s">
        <v>29</v>
      </c>
      <c r="G5" s="10">
        <v>92660</v>
      </c>
      <c r="H5" s="7" t="s">
        <v>52</v>
      </c>
      <c r="I5" s="3" t="s">
        <v>31</v>
      </c>
      <c r="J5" s="7" t="s">
        <v>53</v>
      </c>
      <c r="K5" s="6" t="e">
        <f t="shared" ref="K5:K12" si="3">K4</f>
        <v>#REF!</v>
      </c>
      <c r="L5" s="6" t="e">
        <f t="shared" ref="L5:L12" si="4">L4</f>
        <v>#REF!</v>
      </c>
      <c r="M5" s="7" t="s">
        <v>49</v>
      </c>
      <c r="N5" s="7" t="str">
        <f t="shared" ref="N5:N12" si="5">N4</f>
        <v>Animal &amp; Aquariums</v>
      </c>
      <c r="O5" s="2" t="str">
        <f t="shared" si="1"/>
        <v>Koi</v>
      </c>
      <c r="P5" s="7" t="s">
        <v>11</v>
      </c>
      <c r="Q5" s="7" t="str">
        <f t="shared" si="2"/>
        <v>Animal &amp; Aquariums</v>
      </c>
    </row>
    <row r="6" spans="1:17" ht="62">
      <c r="A6" s="3" t="s">
        <v>23</v>
      </c>
      <c r="B6" s="7" t="s">
        <v>61</v>
      </c>
      <c r="C6" s="16" t="s">
        <v>62</v>
      </c>
      <c r="D6" s="16" t="s">
        <v>63</v>
      </c>
      <c r="E6" s="7">
        <f t="shared" si="0"/>
        <v>149</v>
      </c>
      <c r="F6" s="3" t="s">
        <v>29</v>
      </c>
      <c r="G6" s="10">
        <v>92626</v>
      </c>
      <c r="H6" s="7" t="s">
        <v>64</v>
      </c>
      <c r="I6" s="3" t="s">
        <v>65</v>
      </c>
      <c r="J6" s="7" t="s">
        <v>60</v>
      </c>
      <c r="K6" s="6" t="e">
        <f>#REF!</f>
        <v>#REF!</v>
      </c>
      <c r="L6" s="6" t="e">
        <f>#REF!</f>
        <v>#REF!</v>
      </c>
      <c r="M6" s="7" t="s">
        <v>49</v>
      </c>
      <c r="N6" s="7" t="s">
        <v>105</v>
      </c>
      <c r="O6" s="2" t="str">
        <f t="shared" si="1"/>
        <v>Orange Coast</v>
      </c>
      <c r="P6" s="7" t="s">
        <v>11</v>
      </c>
      <c r="Q6" s="7" t="s">
        <v>34</v>
      </c>
    </row>
    <row r="7" spans="1:17" ht="52">
      <c r="A7" s="2" t="s">
        <v>18</v>
      </c>
      <c r="B7" s="7" t="s">
        <v>66</v>
      </c>
      <c r="C7" s="16" t="s">
        <v>68</v>
      </c>
      <c r="D7" s="16" t="s">
        <v>69</v>
      </c>
      <c r="E7" s="7">
        <f t="shared" si="0"/>
        <v>127</v>
      </c>
      <c r="F7" s="3" t="s">
        <v>37</v>
      </c>
      <c r="G7" s="10">
        <v>92869</v>
      </c>
      <c r="H7" s="7" t="s">
        <v>17</v>
      </c>
      <c r="I7" s="3" t="s">
        <v>58</v>
      </c>
      <c r="J7" s="3" t="s">
        <v>67</v>
      </c>
      <c r="K7" s="6" t="e">
        <f t="shared" si="3"/>
        <v>#REF!</v>
      </c>
      <c r="L7" s="6" t="e">
        <f t="shared" si="4"/>
        <v>#REF!</v>
      </c>
      <c r="M7" s="7" t="s">
        <v>49</v>
      </c>
      <c r="N7" s="7" t="str">
        <f t="shared" si="5"/>
        <v>Animal &amp; Aquariums</v>
      </c>
      <c r="O7" s="2" t="str">
        <f t="shared" si="1"/>
        <v>Orange County Zoo</v>
      </c>
      <c r="P7" s="7" t="s">
        <v>11</v>
      </c>
      <c r="Q7" s="7" t="str">
        <f t="shared" si="2"/>
        <v>Animal &amp; Aquariums</v>
      </c>
    </row>
    <row r="8" spans="1:17" ht="62">
      <c r="A8" s="2" t="s">
        <v>22</v>
      </c>
      <c r="B8" s="7" t="s">
        <v>72</v>
      </c>
      <c r="C8" s="16" t="s">
        <v>74</v>
      </c>
      <c r="D8" s="16" t="s">
        <v>75</v>
      </c>
      <c r="E8" s="7">
        <f t="shared" si="0"/>
        <v>138</v>
      </c>
      <c r="F8" s="3" t="s">
        <v>37</v>
      </c>
      <c r="G8" s="10">
        <v>92651</v>
      </c>
      <c r="H8" s="7" t="s">
        <v>70</v>
      </c>
      <c r="I8" s="3" t="s">
        <v>71</v>
      </c>
      <c r="J8" s="7" t="s">
        <v>73</v>
      </c>
      <c r="K8" s="6" t="e">
        <f t="shared" si="3"/>
        <v>#REF!</v>
      </c>
      <c r="L8" s="6" t="e">
        <f t="shared" si="4"/>
        <v>#REF!</v>
      </c>
      <c r="M8" s="7" t="s">
        <v>49</v>
      </c>
      <c r="N8" s="7" t="str">
        <f t="shared" si="5"/>
        <v>Animal &amp; Aquariums</v>
      </c>
      <c r="O8" s="2" t="str">
        <f t="shared" si="1"/>
        <v>Pacific Marine</v>
      </c>
      <c r="P8" s="7" t="s">
        <v>11</v>
      </c>
      <c r="Q8" s="7" t="str">
        <f t="shared" si="2"/>
        <v>Animal &amp; Aquariums</v>
      </c>
    </row>
    <row r="9" spans="1:17" ht="42">
      <c r="A9" s="2" t="s">
        <v>19</v>
      </c>
      <c r="B9" s="7" t="s">
        <v>78</v>
      </c>
      <c r="C9" s="16" t="s">
        <v>77</v>
      </c>
      <c r="D9" s="16" t="s">
        <v>77</v>
      </c>
      <c r="E9" s="7">
        <f t="shared" si="0"/>
        <v>150</v>
      </c>
      <c r="F9" s="7" t="s">
        <v>37</v>
      </c>
      <c r="G9" s="10">
        <v>92701</v>
      </c>
      <c r="H9" s="7" t="s">
        <v>76</v>
      </c>
      <c r="I9" s="3" t="s">
        <v>59</v>
      </c>
      <c r="J9" s="3" t="s">
        <v>79</v>
      </c>
      <c r="K9" s="6" t="e">
        <f t="shared" si="3"/>
        <v>#REF!</v>
      </c>
      <c r="L9" s="6" t="e">
        <f t="shared" si="4"/>
        <v>#REF!</v>
      </c>
      <c r="M9" s="7" t="s">
        <v>49</v>
      </c>
      <c r="N9" s="7" t="str">
        <f t="shared" si="5"/>
        <v>Animal &amp; Aquariums</v>
      </c>
      <c r="O9" s="2" t="str">
        <f t="shared" si="1"/>
        <v>Santa Ana Zoo</v>
      </c>
      <c r="P9" s="7" t="s">
        <v>11</v>
      </c>
      <c r="Q9" s="7" t="str">
        <f t="shared" si="2"/>
        <v>Animal &amp; Aquariums</v>
      </c>
    </row>
    <row r="10" spans="1:17" ht="62">
      <c r="A10" s="3" t="s">
        <v>83</v>
      </c>
      <c r="B10" s="7" t="s">
        <v>82</v>
      </c>
      <c r="C10" s="16" t="s">
        <v>80</v>
      </c>
      <c r="D10" s="16" t="s">
        <v>84</v>
      </c>
      <c r="E10" s="7">
        <f t="shared" si="0"/>
        <v>150</v>
      </c>
      <c r="F10" s="3" t="s">
        <v>37</v>
      </c>
      <c r="G10" s="10">
        <v>92612</v>
      </c>
      <c r="H10" s="7" t="s">
        <v>85</v>
      </c>
      <c r="I10" s="3" t="s">
        <v>86</v>
      </c>
      <c r="J10" s="3" t="s">
        <v>81</v>
      </c>
      <c r="K10" s="6" t="e">
        <f t="shared" si="3"/>
        <v>#REF!</v>
      </c>
      <c r="L10" s="6" t="e">
        <f t="shared" si="4"/>
        <v>#REF!</v>
      </c>
      <c r="M10" s="7" t="s">
        <v>49</v>
      </c>
      <c r="N10" s="7" t="str">
        <f t="shared" si="5"/>
        <v>Animal &amp; Aquariums</v>
      </c>
      <c r="O10" s="2" t="str">
        <f t="shared" si="1"/>
        <v>Tanaka animal</v>
      </c>
      <c r="P10" s="3" t="s">
        <v>11</v>
      </c>
      <c r="Q10" s="7" t="str">
        <f t="shared" si="2"/>
        <v>Animal &amp; Aquariums</v>
      </c>
    </row>
    <row r="11" spans="1:17" ht="62">
      <c r="A11" s="3" t="s">
        <v>21</v>
      </c>
      <c r="B11" s="7" t="s">
        <v>88</v>
      </c>
      <c r="C11" s="16" t="s">
        <v>87</v>
      </c>
      <c r="D11" s="16" t="s">
        <v>89</v>
      </c>
      <c r="E11" s="7">
        <f t="shared" si="0"/>
        <v>145</v>
      </c>
      <c r="F11" s="3" t="s">
        <v>37</v>
      </c>
      <c r="G11" s="10">
        <v>92708</v>
      </c>
      <c r="H11" s="7" t="s">
        <v>90</v>
      </c>
      <c r="I11" s="3" t="s">
        <v>91</v>
      </c>
      <c r="J11" s="3" t="s">
        <v>92</v>
      </c>
      <c r="K11" s="6" t="e">
        <f t="shared" si="3"/>
        <v>#REF!</v>
      </c>
      <c r="L11" s="6" t="e">
        <f t="shared" si="4"/>
        <v>#REF!</v>
      </c>
      <c r="M11" s="7" t="s">
        <v>49</v>
      </c>
      <c r="N11" s="7" t="str">
        <f t="shared" si="5"/>
        <v>Animal &amp; Aquariums</v>
      </c>
      <c r="O11" s="2" t="str">
        <f t="shared" si="1"/>
        <v>The Reptile</v>
      </c>
      <c r="P11" s="3" t="s">
        <v>11</v>
      </c>
      <c r="Q11" s="7" t="str">
        <f t="shared" si="2"/>
        <v>Animal &amp; Aquariums</v>
      </c>
    </row>
    <row r="12" spans="1:17" ht="52">
      <c r="A12" s="3" t="s">
        <v>24</v>
      </c>
      <c r="B12" s="7" t="s">
        <v>94</v>
      </c>
      <c r="C12" s="16" t="s">
        <v>95</v>
      </c>
      <c r="D12" s="16" t="s">
        <v>96</v>
      </c>
      <c r="E12" s="7">
        <f t="shared" si="0"/>
        <v>137</v>
      </c>
      <c r="F12" s="3" t="s">
        <v>37</v>
      </c>
      <c r="G12" s="10">
        <v>92629</v>
      </c>
      <c r="H12" s="7" t="s">
        <v>97</v>
      </c>
      <c r="I12" s="3" t="s">
        <v>98</v>
      </c>
      <c r="J12" s="3" t="s">
        <v>93</v>
      </c>
      <c r="K12" s="6" t="e">
        <f t="shared" si="3"/>
        <v>#REF!</v>
      </c>
      <c r="L12" s="6" t="e">
        <f t="shared" si="4"/>
        <v>#REF!</v>
      </c>
      <c r="M12" s="7" t="s">
        <v>49</v>
      </c>
      <c r="N12" s="7" t="str">
        <f t="shared" si="5"/>
        <v>Animal &amp; Aquariums</v>
      </c>
      <c r="O12" s="2" t="str">
        <f t="shared" si="1"/>
        <v>Tidepool dana point</v>
      </c>
      <c r="P12" s="3" t="s">
        <v>11</v>
      </c>
      <c r="Q12" s="7" t="str">
        <f t="shared" si="2"/>
        <v>Animal &amp; Aquariums</v>
      </c>
    </row>
    <row r="13" spans="1:17" ht="72">
      <c r="A13" s="3" t="s">
        <v>20</v>
      </c>
      <c r="B13" s="7" t="s">
        <v>103</v>
      </c>
      <c r="C13" s="16" t="s">
        <v>104</v>
      </c>
      <c r="D13" s="16" t="s">
        <v>102</v>
      </c>
      <c r="E13" s="7">
        <f t="shared" si="0"/>
        <v>158</v>
      </c>
      <c r="F13" s="3" t="s">
        <v>37</v>
      </c>
      <c r="G13" s="10">
        <v>92675</v>
      </c>
      <c r="H13" s="7" t="s">
        <v>99</v>
      </c>
      <c r="I13" s="3" t="s">
        <v>101</v>
      </c>
      <c r="J13" s="3" t="s">
        <v>100</v>
      </c>
      <c r="K13" s="6" t="e">
        <f>#REF!</f>
        <v>#REF!</v>
      </c>
      <c r="L13" s="6" t="e">
        <f>#REF!</f>
        <v>#REF!</v>
      </c>
      <c r="M13" s="7" t="s">
        <v>49</v>
      </c>
      <c r="N13" s="7" t="s">
        <v>34</v>
      </c>
      <c r="O13" s="2" t="str">
        <f t="shared" si="1"/>
        <v>Rivers street</v>
      </c>
      <c r="P13" s="3" t="s">
        <v>11</v>
      </c>
      <c r="Q13" s="7" t="str">
        <f t="shared" si="2"/>
        <v>Animals &amp; Aquariums</v>
      </c>
    </row>
    <row r="14" spans="1:17" ht="17">
      <c r="A14" s="3"/>
      <c r="B14" s="3"/>
      <c r="C14" s="3"/>
      <c r="D14" s="3"/>
      <c r="E14" s="3"/>
      <c r="F14" s="3"/>
      <c r="G14" s="3"/>
      <c r="H14" s="3"/>
      <c r="I14" s="3">
        <v>0</v>
      </c>
      <c r="J14" s="3"/>
      <c r="K14" s="6"/>
      <c r="L14" s="6"/>
      <c r="M14" s="3"/>
      <c r="N14" s="7"/>
      <c r="O14" s="2">
        <f t="shared" si="1"/>
        <v>0</v>
      </c>
      <c r="P14" s="3"/>
      <c r="Q14" s="7"/>
    </row>
    <row r="15" spans="1:17" ht="17">
      <c r="A15" s="5"/>
      <c r="B15" s="5"/>
      <c r="C15" s="5"/>
      <c r="D15" s="5"/>
      <c r="E15" s="5"/>
      <c r="F15" s="3"/>
      <c r="G15" s="3"/>
      <c r="H15" s="3"/>
      <c r="I15" s="3"/>
      <c r="J15" s="3"/>
      <c r="K15" s="6"/>
      <c r="L15" s="6"/>
      <c r="M15" s="3"/>
      <c r="N15" s="7"/>
      <c r="O15" s="3"/>
      <c r="P15" s="3"/>
      <c r="Q15" s="7"/>
    </row>
    <row r="16" spans="1:17" ht="17">
      <c r="A16" s="3"/>
      <c r="B16" s="3"/>
      <c r="C16" s="3"/>
      <c r="D16" s="3"/>
      <c r="E16" s="3"/>
      <c r="F16" s="3"/>
      <c r="G16" s="3"/>
      <c r="H16" s="3"/>
      <c r="I16" s="3"/>
      <c r="J16" s="3"/>
      <c r="K16" s="6"/>
      <c r="L16" s="6"/>
      <c r="M16" s="3"/>
      <c r="N16" s="7"/>
      <c r="O16" s="3"/>
      <c r="P16" s="3"/>
      <c r="Q16" s="7"/>
    </row>
    <row r="17" spans="1:17" ht="17">
      <c r="A17" s="3"/>
      <c r="B17" s="3"/>
      <c r="C17" s="3"/>
      <c r="D17" s="3"/>
      <c r="E17" s="3"/>
      <c r="F17" s="3"/>
      <c r="G17" s="3"/>
      <c r="H17" s="3"/>
      <c r="I17" s="3"/>
      <c r="J17" s="3"/>
      <c r="K17" s="6"/>
      <c r="L17" s="6"/>
      <c r="M17" s="3"/>
      <c r="N17" s="7"/>
      <c r="O17" s="3"/>
      <c r="P17" s="3"/>
      <c r="Q17" s="7"/>
    </row>
    <row r="18" spans="1:17" ht="17">
      <c r="A18" s="3"/>
      <c r="B18" s="3"/>
      <c r="C18" s="3"/>
      <c r="D18" s="3"/>
      <c r="E18" s="3"/>
      <c r="F18" s="3"/>
      <c r="G18" s="3"/>
      <c r="H18" s="3"/>
      <c r="I18" s="3"/>
      <c r="J18" s="3"/>
      <c r="K18" s="6"/>
      <c r="L18" s="6"/>
      <c r="M18" s="3"/>
      <c r="N18" s="7"/>
      <c r="O18" s="3"/>
      <c r="P18" s="3"/>
      <c r="Q18" s="7"/>
    </row>
    <row r="19" spans="1:17" ht="17">
      <c r="A19" s="3"/>
      <c r="B19" s="3"/>
      <c r="C19" s="3"/>
      <c r="D19" s="3"/>
      <c r="E19" s="3"/>
      <c r="F19" s="3"/>
      <c r="G19" s="3"/>
      <c r="H19" s="3"/>
      <c r="I19" s="3"/>
      <c r="J19" s="3"/>
      <c r="K19" s="6"/>
      <c r="L19" s="6"/>
      <c r="M19" s="3"/>
      <c r="N19" s="3"/>
      <c r="O19" s="3"/>
      <c r="P19" s="3"/>
      <c r="Q19" s="3"/>
    </row>
    <row r="20" spans="1:17" ht="17">
      <c r="A20" s="3"/>
      <c r="B20" s="3"/>
      <c r="C20" s="3"/>
      <c r="D20" s="3"/>
      <c r="E20" s="3"/>
      <c r="F20" s="3"/>
      <c r="G20" s="3"/>
      <c r="H20" s="3"/>
      <c r="I20" s="3"/>
      <c r="J20" s="3"/>
      <c r="K20" s="3"/>
      <c r="L20" s="3"/>
      <c r="M20" s="3"/>
      <c r="N20" s="3"/>
      <c r="O20" s="3"/>
      <c r="P20" s="3"/>
      <c r="Q20" s="3"/>
    </row>
    <row r="21" spans="1:17" ht="17">
      <c r="A21" s="3"/>
      <c r="B21" s="3"/>
      <c r="C21" s="3"/>
      <c r="D21" s="3"/>
      <c r="E21" s="3"/>
      <c r="F21" s="3"/>
      <c r="G21" s="3"/>
      <c r="H21" s="3"/>
      <c r="I21" s="3"/>
      <c r="J21" s="3"/>
      <c r="K21" s="3"/>
      <c r="L21" s="3"/>
      <c r="M21" s="3"/>
      <c r="N21" s="3"/>
      <c r="O21" s="3"/>
      <c r="P21" s="3"/>
      <c r="Q21" s="3"/>
    </row>
    <row r="22" spans="1:17" ht="17">
      <c r="A22" s="3"/>
      <c r="B22" s="3"/>
      <c r="C22" s="3"/>
      <c r="D22" s="3"/>
      <c r="E22" s="3"/>
      <c r="F22" s="3"/>
      <c r="G22" s="3"/>
      <c r="H22" s="3"/>
      <c r="I22" s="3"/>
      <c r="J22" s="3"/>
      <c r="K22" s="3"/>
      <c r="L22" s="3"/>
      <c r="M22" s="3"/>
      <c r="N22" s="3"/>
      <c r="O22" s="3"/>
      <c r="P22" s="3"/>
      <c r="Q22" s="3"/>
    </row>
    <row r="23" spans="1:17" ht="17">
      <c r="A23" s="3"/>
      <c r="B23" s="3"/>
      <c r="C23" s="3"/>
      <c r="D23" s="3"/>
      <c r="E23" s="3"/>
      <c r="F23" s="3"/>
      <c r="G23" s="3"/>
      <c r="H23" s="3"/>
      <c r="I23" s="3"/>
      <c r="J23" s="3"/>
      <c r="K23" s="3"/>
      <c r="L23" s="3"/>
      <c r="M23" s="3"/>
      <c r="N23" s="3"/>
      <c r="O23" s="3"/>
      <c r="P23" s="3"/>
      <c r="Q23" s="3"/>
    </row>
    <row r="24" spans="1:17" ht="17">
      <c r="A24" s="3"/>
      <c r="B24" s="3"/>
      <c r="C24" s="3"/>
      <c r="D24" s="3"/>
      <c r="E24" s="3"/>
      <c r="F24" s="3"/>
      <c r="G24" s="3"/>
      <c r="H24" s="3"/>
      <c r="I24" s="3"/>
      <c r="J24" s="3"/>
      <c r="K24" s="3"/>
      <c r="L24" s="3"/>
      <c r="M24" s="3"/>
      <c r="N24" s="3"/>
      <c r="O24" s="3"/>
      <c r="P24" s="3"/>
      <c r="Q24" s="3"/>
    </row>
    <row r="25" spans="1:17" ht="17">
      <c r="A25" s="3"/>
      <c r="B25" s="3"/>
      <c r="C25" s="3"/>
      <c r="D25" s="3"/>
      <c r="E25" s="3"/>
      <c r="F25" s="3"/>
      <c r="G25" s="3"/>
      <c r="H25" s="3"/>
      <c r="I25" s="3"/>
      <c r="J25" s="3"/>
      <c r="K25" s="3"/>
      <c r="L25" s="3"/>
      <c r="M25" s="3"/>
      <c r="N25" s="3"/>
      <c r="O25" s="3"/>
      <c r="P25" s="3"/>
      <c r="Q25" s="3"/>
    </row>
    <row r="26" spans="1:17" ht="17">
      <c r="A26" s="5"/>
      <c r="B26" s="5"/>
      <c r="C26" s="5"/>
      <c r="D26" s="5"/>
      <c r="E26" s="5"/>
      <c r="F26" s="3"/>
      <c r="G26" s="3"/>
      <c r="H26" s="3"/>
      <c r="I26" s="3"/>
      <c r="J26" s="3"/>
      <c r="K26" s="3"/>
      <c r="L26" s="3"/>
      <c r="M26" s="3"/>
      <c r="N26" s="3"/>
      <c r="O26" s="3"/>
      <c r="P26" s="3"/>
      <c r="Q26" s="3"/>
    </row>
    <row r="27" spans="1:17" ht="17">
      <c r="A27" s="3"/>
      <c r="B27" s="3"/>
      <c r="C27" s="3"/>
      <c r="D27" s="3"/>
      <c r="E27" s="3"/>
      <c r="F27" s="3"/>
      <c r="G27" s="3"/>
      <c r="H27" s="3"/>
      <c r="I27" s="3"/>
      <c r="J27" s="3"/>
      <c r="K27" s="3"/>
      <c r="L27" s="3"/>
      <c r="M27" s="3"/>
      <c r="N27" s="3"/>
      <c r="O27" s="3"/>
      <c r="P27" s="3"/>
      <c r="Q27" s="3"/>
    </row>
    <row r="28" spans="1:17" ht="17">
      <c r="A28" s="3"/>
      <c r="B28" s="3"/>
      <c r="C28" s="3"/>
      <c r="D28" s="3"/>
      <c r="E28" s="3"/>
      <c r="F28" s="3"/>
      <c r="G28" s="3"/>
      <c r="H28" s="3"/>
      <c r="I28" s="3"/>
      <c r="J28" s="3"/>
      <c r="K28" s="3"/>
      <c r="L28" s="3"/>
      <c r="M28" s="3"/>
      <c r="N28" s="3"/>
      <c r="O28" s="3"/>
      <c r="P28" s="3"/>
      <c r="Q28" s="3"/>
    </row>
    <row r="29" spans="1:17" ht="17">
      <c r="A29" s="3"/>
      <c r="B29" s="3"/>
      <c r="C29" s="3"/>
      <c r="D29" s="3"/>
      <c r="E29" s="3"/>
      <c r="F29" s="3"/>
      <c r="G29" s="3"/>
      <c r="H29" s="3"/>
      <c r="I29" s="3"/>
      <c r="J29" s="3"/>
      <c r="K29" s="3"/>
      <c r="L29" s="3"/>
      <c r="M29" s="3"/>
      <c r="N29" s="3"/>
      <c r="O29" s="3"/>
      <c r="P29" s="3"/>
      <c r="Q29" s="3"/>
    </row>
    <row r="30" spans="1:17" ht="17">
      <c r="A30" s="3"/>
      <c r="B30" s="3"/>
      <c r="C30" s="3"/>
      <c r="D30" s="3"/>
      <c r="E30" s="3"/>
      <c r="F30" s="3"/>
      <c r="G30" s="3"/>
      <c r="H30" s="3"/>
      <c r="I30" s="3"/>
      <c r="J30" s="3"/>
      <c r="K30" s="3"/>
      <c r="L30" s="3"/>
      <c r="M30" s="3"/>
      <c r="N30" s="3"/>
      <c r="O30" s="3"/>
      <c r="P30" s="3"/>
      <c r="Q30" s="3"/>
    </row>
    <row r="31" spans="1:17" ht="17">
      <c r="A31" s="3"/>
      <c r="B31" s="3"/>
      <c r="C31" s="3"/>
      <c r="D31" s="3"/>
      <c r="E31" s="3"/>
      <c r="F31" s="3"/>
      <c r="G31" s="3"/>
      <c r="H31" s="3"/>
      <c r="I31" s="3"/>
      <c r="J31" s="3"/>
      <c r="K31" s="3"/>
      <c r="L31" s="3"/>
      <c r="M31" s="3"/>
      <c r="N31" s="3"/>
      <c r="O31" s="3"/>
      <c r="P31" s="3"/>
      <c r="Q31" s="3"/>
    </row>
    <row r="32" spans="1:17" ht="17">
      <c r="A32" s="3"/>
      <c r="B32" s="3"/>
      <c r="C32" s="3"/>
      <c r="D32" s="3"/>
      <c r="E32" s="3"/>
      <c r="F32" s="3"/>
      <c r="G32" s="3"/>
      <c r="H32" s="3"/>
      <c r="I32" s="3"/>
      <c r="J32" s="3"/>
      <c r="K32" s="3"/>
      <c r="L32" s="3"/>
      <c r="M32" s="3"/>
      <c r="N32" s="3"/>
      <c r="O32" s="3"/>
      <c r="P32" s="3"/>
      <c r="Q32" s="3"/>
    </row>
    <row r="33" spans="1:17" ht="17">
      <c r="A33" s="3"/>
      <c r="B33" s="3"/>
      <c r="C33" s="3"/>
      <c r="D33" s="3"/>
      <c r="E33" s="3"/>
      <c r="F33" s="3"/>
      <c r="G33" s="3"/>
      <c r="H33" s="3"/>
      <c r="I33" s="3"/>
      <c r="J33" s="3"/>
      <c r="K33" s="3"/>
      <c r="L33" s="3"/>
      <c r="M33" s="3"/>
      <c r="N33" s="3"/>
      <c r="O33" s="3"/>
      <c r="P33" s="3"/>
      <c r="Q33" s="3"/>
    </row>
    <row r="34" spans="1:17" ht="17">
      <c r="A34" s="4"/>
      <c r="B34" s="4"/>
      <c r="C34" s="4"/>
      <c r="D34" s="4"/>
      <c r="E34" s="4"/>
      <c r="F34" s="4"/>
      <c r="G34" s="4"/>
      <c r="H34" s="4"/>
      <c r="I34" s="4"/>
      <c r="J34" s="4"/>
      <c r="K34" s="4"/>
      <c r="L34" s="4"/>
      <c r="M34" s="4"/>
      <c r="N34" s="4"/>
      <c r="O34" s="4"/>
      <c r="P34" s="4"/>
      <c r="Q34" s="4"/>
    </row>
    <row r="35" spans="1:17" ht="17">
      <c r="A35" s="4"/>
      <c r="B35" s="4"/>
      <c r="C35" s="4"/>
      <c r="D35" s="4"/>
      <c r="E35" s="4"/>
      <c r="F35" s="4"/>
      <c r="G35" s="4"/>
      <c r="H35" s="4"/>
      <c r="I35" s="4"/>
      <c r="J35" s="4"/>
      <c r="K35" s="4"/>
      <c r="L35" s="4"/>
      <c r="M35" s="4"/>
      <c r="N35" s="4"/>
      <c r="O35" s="4"/>
      <c r="P35" s="4"/>
      <c r="Q35" s="4"/>
    </row>
    <row r="36" spans="1:17" ht="17">
      <c r="A36" s="4"/>
      <c r="B36" s="4"/>
      <c r="C36" s="4"/>
      <c r="D36" s="4"/>
      <c r="E36" s="4"/>
      <c r="F36" s="4"/>
      <c r="G36" s="4"/>
      <c r="H36" s="4"/>
      <c r="I36" s="4"/>
      <c r="J36" s="4"/>
      <c r="K36" s="4"/>
      <c r="L36" s="4"/>
      <c r="M36" s="4"/>
      <c r="N36" s="4"/>
      <c r="O36" s="4"/>
      <c r="P36" s="4"/>
      <c r="Q36" s="4"/>
    </row>
  </sheetData>
  <autoFilter ref="A1:E1" xr:uid="{53CC98DF-CB20-4309-A9A2-0C089944AB6E}">
    <sortState xmlns:xlrd2="http://schemas.microsoft.com/office/spreadsheetml/2017/richdata2" ref="A2:E14">
      <sortCondition ref="A1"/>
    </sortState>
  </autoFilter>
  <phoneticPr fontId="1" type="noConversion"/>
  <printOptions horizontalCentered="1"/>
  <pageMargins left="0.25" right="0.25" top="0.75" bottom="0.75" header="0.3" footer="0.3"/>
  <pageSetup scale="80" orientation="landscape" horizontalDpi="300" verticalDpi="300" r:id="rId1"/>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Animal</vt:lpstr>
      <vt:lpstr>Animal!Print_Area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2024-06-17T03:46:28Z</cp:lastPrinted>
  <dcterms:created xsi:type="dcterms:W3CDTF">2024-03-17T21:07:34Z</dcterms:created>
  <dcterms:modified xsi:type="dcterms:W3CDTF">2024-07-06T15:14:53Z</dcterms:modified>
</cp:coreProperties>
</file>