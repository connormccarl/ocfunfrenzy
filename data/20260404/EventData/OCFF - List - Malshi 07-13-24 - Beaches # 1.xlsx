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https://d.docs.live.net/7c8981b39d99169f/Desktop/- OCFF/Fiverr/"/>
    </mc:Choice>
  </mc:AlternateContent>
  <xr:revisionPtr revIDLastSave="3" documentId="8_{482A7233-1E57-4E81-9CBB-97D381233526}" xr6:coauthVersionLast="47" xr6:coauthVersionMax="47" xr10:uidLastSave="{3D113F4D-D58A-4039-8191-33B1F1A9811F}"/>
  <bookViews>
    <workbookView xWindow="-110" yWindow="-110" windowWidth="19420" windowHeight="11500" xr2:uid="{3F4AF157-4EA4-44F9-9369-4ED39BF1C451}"/>
  </bookViews>
  <sheets>
    <sheet name="Beaches" sheetId="2" r:id="rId1"/>
  </sheets>
  <definedNames>
    <definedName name="_xlnm._FilterDatabase" localSheetId="0" hidden="1">Beaches!$A$1:$Q$52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 i="2" l="1"/>
  <c r="Q4" i="2"/>
  <c r="Q5" i="2"/>
  <c r="Q6" i="2"/>
  <c r="Q7" i="2"/>
  <c r="Q8" i="2"/>
  <c r="Q9" i="2"/>
  <c r="Q11" i="2"/>
  <c r="Q12" i="2"/>
  <c r="Q14" i="2"/>
  <c r="Q10" i="2"/>
  <c r="Q13"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O3" i="2"/>
  <c r="O4" i="2"/>
  <c r="O5" i="2"/>
  <c r="O6" i="2"/>
  <c r="O7" i="2"/>
  <c r="O8" i="2"/>
  <c r="O9" i="2"/>
  <c r="O11" i="2"/>
  <c r="O12" i="2"/>
  <c r="O14" i="2"/>
  <c r="O10" i="2"/>
  <c r="O13"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E3" i="2"/>
  <c r="E4" i="2"/>
  <c r="E5" i="2"/>
  <c r="E6" i="2"/>
  <c r="E7" i="2"/>
  <c r="E8" i="2"/>
  <c r="E9" i="2"/>
  <c r="E11" i="2"/>
  <c r="E12" i="2"/>
  <c r="E14" i="2"/>
  <c r="E10" i="2"/>
  <c r="E13"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O2" i="2"/>
  <c r="E2" i="2"/>
  <c r="Q2" i="2" l="1"/>
</calcChain>
</file>

<file path=xl/sharedStrings.xml><?xml version="1.0" encoding="utf-8"?>
<sst xmlns="http://schemas.openxmlformats.org/spreadsheetml/2006/main" count="562" uniqueCount="363">
  <si>
    <t>Event</t>
  </si>
  <si>
    <t>Focus Keyphrase</t>
  </si>
  <si>
    <t>Zip code</t>
  </si>
  <si>
    <t>Event location</t>
  </si>
  <si>
    <t>Registration email/URL</t>
  </si>
  <si>
    <t>Start date</t>
  </si>
  <si>
    <t>End date</t>
  </si>
  <si>
    <t>Event category</t>
  </si>
  <si>
    <t>Event type</t>
  </si>
  <si>
    <t>Event thumbnail</t>
  </si>
  <si>
    <t>Banner name
(in folder, to upload)</t>
  </si>
  <si>
    <t>Family fun</t>
  </si>
  <si>
    <t>Title</t>
  </si>
  <si>
    <t>Top Box</t>
  </si>
  <si>
    <t>Meta Description 
(160 max words)</t>
  </si>
  <si>
    <t>Cell count</t>
  </si>
  <si>
    <t>Event category
(only 1)</t>
  </si>
  <si>
    <t>Beaches</t>
  </si>
  <si>
    <t>Huntington beach</t>
  </si>
  <si>
    <t>Dana strands beach</t>
  </si>
  <si>
    <t>Divers cove</t>
  </si>
  <si>
    <t xml:space="preserve">Pirate sea cave tide pool walk </t>
  </si>
  <si>
    <t>Dana Point - Pirate Sea Cove Cave Beach &amp; Tide Pool</t>
  </si>
  <si>
    <t>Crystal Cove</t>
  </si>
  <si>
    <t>Salt Creek - DP</t>
  </si>
  <si>
    <t>Crescent bay - laguna</t>
  </si>
  <si>
    <t>Shaw's cove - laguna</t>
  </si>
  <si>
    <t>Bluebird canyon - laguna</t>
  </si>
  <si>
    <t>Headlands beach - dana</t>
  </si>
  <si>
    <t>Huntington - dog beach</t>
  </si>
  <si>
    <t>Woods cove - laguna</t>
  </si>
  <si>
    <t>Monarch bay beach - dana pt</t>
  </si>
  <si>
    <t>Montage beach - laguna</t>
  </si>
  <si>
    <t>Laguna - Crystal Cove State Beach</t>
  </si>
  <si>
    <t>Dana Point - Salt Creek Beach</t>
  </si>
  <si>
    <t>Laguna - Montage Beach</t>
  </si>
  <si>
    <t>Dana Point - Headlands Beach</t>
  </si>
  <si>
    <t>Huntington - Dog Beach</t>
  </si>
  <si>
    <t>Dana Point - Monarch Bay Beach</t>
  </si>
  <si>
    <t>Baby Beach - Dana</t>
  </si>
  <si>
    <t>Dana Point - Baby Beach</t>
  </si>
  <si>
    <t>Doheny State Beach</t>
  </si>
  <si>
    <t>Dana Point - Doheny State Beach</t>
  </si>
  <si>
    <t>Bolsa Chica - HB</t>
  </si>
  <si>
    <t>JG Island beach - HB</t>
  </si>
  <si>
    <t>Huntington - JG Island Beach</t>
  </si>
  <si>
    <t>Huntington - Sunset Beach</t>
  </si>
  <si>
    <t>Sunset Beach - HB</t>
  </si>
  <si>
    <t>Laguna - Agate Street Beach</t>
  </si>
  <si>
    <t>Anita street - Laguna</t>
  </si>
  <si>
    <t>Agate street - Laguna</t>
  </si>
  <si>
    <t>Laguna - Anita Street Beach</t>
  </si>
  <si>
    <t>Brooks - Laguna</t>
  </si>
  <si>
    <t>Laguna - Brooks Street Beach</t>
  </si>
  <si>
    <t>Christmas cove - laguna</t>
  </si>
  <si>
    <t>Laguna - Christmas Cove Beach</t>
  </si>
  <si>
    <t>Cleo - Laguna</t>
  </si>
  <si>
    <t>Laguna - Cleo Street Beach</t>
  </si>
  <si>
    <t>Huntington - Bolsa Chica Beach</t>
  </si>
  <si>
    <t>Laguna - Bluebird Canyon Beach</t>
  </si>
  <si>
    <t>Cress street - Laguna</t>
  </si>
  <si>
    <t>Laguna - Cress Street Beach</t>
  </si>
  <si>
    <t>Emerald Bay Beach - Laguna</t>
  </si>
  <si>
    <t>Fisherman's cover - Laguna</t>
  </si>
  <si>
    <t>Laguna - Fisherman's Cove Beach</t>
  </si>
  <si>
    <t>Goff cove - Laguna</t>
  </si>
  <si>
    <t>Laguna - Goff Cove Beach</t>
  </si>
  <si>
    <t>Irvine cove beach - Laguna</t>
  </si>
  <si>
    <t>Laguna - Irvine Cove Beach</t>
  </si>
  <si>
    <t>laguna beach main</t>
  </si>
  <si>
    <t>Middle man cove - Laguna</t>
  </si>
  <si>
    <t>Laguna - Middle Man Cove Beach</t>
  </si>
  <si>
    <t>Moss street - Laguna</t>
  </si>
  <si>
    <t>Laguna - Moss Street Beach</t>
  </si>
  <si>
    <t>Mountain road - laguna</t>
  </si>
  <si>
    <t>Laguna - Mountain Road Beach</t>
  </si>
  <si>
    <t>Oak Street - Laguna</t>
  </si>
  <si>
    <t>Laguna - Oak Street Beach</t>
  </si>
  <si>
    <t>Pearl Street - Laguna</t>
  </si>
  <si>
    <t>Picnic beach - Laguna</t>
  </si>
  <si>
    <t>Laguna - Picnic Beach at Heisler Park</t>
  </si>
  <si>
    <t>Rockpile beach - Laguna</t>
  </si>
  <si>
    <t>Sleepy Hollow - Laguna</t>
  </si>
  <si>
    <t>Laguna - Sleepy Hollow Beach</t>
  </si>
  <si>
    <t>St. Ann's street - Laguna</t>
  </si>
  <si>
    <t>Laguna - St. Ann's Street Beach</t>
  </si>
  <si>
    <t>Table rock beach - laguna</t>
  </si>
  <si>
    <t>Laguna - Table Rock Beach</t>
  </si>
  <si>
    <t>Thalia street - Laguna</t>
  </si>
  <si>
    <t>Laguna - Thalia Street Beach</t>
  </si>
  <si>
    <t>Three arch bay - Laguna</t>
  </si>
  <si>
    <t>Laguna - Three Arch Bay Beach</t>
  </si>
  <si>
    <t>Totuava - laguna</t>
  </si>
  <si>
    <t>Laguna - Totuava Beach</t>
  </si>
  <si>
    <t>Treasure island beach - laguna</t>
  </si>
  <si>
    <t>Victoria beach - laguna</t>
  </si>
  <si>
    <t>West street beach - Laguna</t>
  </si>
  <si>
    <t>Laguna - West Street Beach</t>
  </si>
  <si>
    <t>1000 steps beach - laguna</t>
  </si>
  <si>
    <t>Laguna - Aliso Beach</t>
  </si>
  <si>
    <t>Aliso beach - laguna</t>
  </si>
  <si>
    <t xml:space="preserve">Laguna - Victoria Tower Beach </t>
  </si>
  <si>
    <t>Huntington - State Beach</t>
  </si>
  <si>
    <t>Huntington - City Beach</t>
  </si>
  <si>
    <t xml:space="preserve">Beach   </t>
  </si>
  <si>
    <t>Family fun, date night, flying solo, group</t>
  </si>
  <si>
    <t xml:space="preserve">34451 Ensenada Pl, Dana Point, CA </t>
  </si>
  <si>
    <t>https://visitdanapoint.com/what-to-do/baby-beach/</t>
  </si>
  <si>
    <t>Nestled in Dana Point, California, Baby Beach is the perfect place for families with small children seeking a safe, fun, and picturesque beach getaway. This hidden gem, located within the renowned Dana Point Harbor, offers a calm, sheltered environment for beachgoers of all ages to unwind, swim, and soak in the Southern Californian sun.</t>
  </si>
  <si>
    <t xml:space="preserve">Nestled in Dana Point, California, Baby Beach is the perfect place for families with small children seeking a safe, fun, and picturesque beach getaway. </t>
  </si>
  <si>
    <t>DP - Baby beach</t>
  </si>
  <si>
    <t>https://www.parks.ca.gov/?page_id=645</t>
  </si>
  <si>
    <t>25300 Dana Point Harbor Dr., Dana Point, CA</t>
  </si>
  <si>
    <t>DP - Doheny</t>
  </si>
  <si>
    <r>
      <t>Doheny State Beach</t>
    </r>
    <r>
      <rPr>
        <sz val="8"/>
        <color rgb="FF121214"/>
        <rFont val="Arial"/>
        <family val="2"/>
      </rPr>
      <t> is located in the city of Dana Point, California and is one of California's most popular state beaches and attracts almost one million visitors per year. Doheny has a day use surfing beach at its northern end and a five-acre lawn with picnic facilities and volleyball courts.</t>
    </r>
  </si>
  <si>
    <r>
      <t>Doheny State Beach</t>
    </r>
    <r>
      <rPr>
        <sz val="8"/>
        <color rgb="FF121214"/>
        <rFont val="Arial"/>
        <family val="2"/>
      </rPr>
      <t xml:space="preserve"> is located in the city of Dana Point, CA and is one of CA's most popular state beaches &amp; attracts almost one million visitors per year. </t>
    </r>
  </si>
  <si>
    <t>24200 Dana Point Harbor, Dana Point, CA</t>
  </si>
  <si>
    <t>https://www.californiabeaches.com/beach/dana-point-headlands-beach/</t>
  </si>
  <si>
    <t>DP - Headlands</t>
  </si>
  <si>
    <t>Dana Point Headlands Beach is located below the high crumbling cliffs of the Dana Point Headlands. This is a sandy beach covered with rocks and boulders that has excellent tide pools to explore at low tides. Even though there is development all around, this beach feels very remote.</t>
  </si>
  <si>
    <t>Dana Pt. Headlands Beach is located below the high crumbling cliffs of the Headlands. Even though there is development all around, this beach feels very remote.</t>
  </si>
  <si>
    <t xml:space="preserve">500 Monarch Bay Dr, Dana Point, CA </t>
  </si>
  <si>
    <t>DP - Monarch</t>
  </si>
  <si>
    <t>https://www.californiabeaches.com/beach/monarch-bay-beach/</t>
  </si>
  <si>
    <t>Monarch Bay Beach is a public beach below a private beach club in the gated community of Monarch Beach in Dana Point, CA. Monarch Bay Beach Club is the beach access for the land-locked Waldorf Astoria Monarch Beach Resort &amp; Club (formerly known as Monarch Beach Resort).</t>
  </si>
  <si>
    <t xml:space="preserve">Monarch Bay Beach is a public beach below a private beach club in the gated community of Monarch Beach in Dana Point, CA. </t>
  </si>
  <si>
    <t xml:space="preserve">24200 Dana Point Harbor Dr, Dana Point, CA </t>
  </si>
  <si>
    <t>DP - Pirate</t>
  </si>
  <si>
    <t>https://californiathroughmylens.com/dana-point-sea-caves/</t>
  </si>
  <si>
    <t xml:space="preserve">While there are many sea caves up and down the California coast, the Dana Point Sea Caves are some of the easiest to access. This short hike takes you along the coast to a large cave with a great view of the water crashing on the rocks in front of you. It is a relatively popular spot known as Pirate’s Cave, so you probably won’t be alone, but the cave is big and has room for many people. </t>
  </si>
  <si>
    <t xml:space="preserve">Dana Point Sea Caves is a short hike takes you along the coast to a large cave with a great view of the water crashing on the rocks in front of you. </t>
  </si>
  <si>
    <t xml:space="preserve">33333 S. Pacific Coast Hwy., Dana Point, CA </t>
  </si>
  <si>
    <t>DP - Salt</t>
  </si>
  <si>
    <t>https://www.ocparks.com/beaches/salt-creek-beach</t>
  </si>
  <si>
    <t>Salt Creek Beach Park is a popular surfing location. A small, offshore reef creates some of the best left swells along the entire coastline. Swimming, body surfing, sunbathing and tidepool exploration (all tidepool inhabitants are protected) are other beach activities.</t>
  </si>
  <si>
    <t xml:space="preserve">Salt Creek Beach Park is a popular surfing location. A small, offshore reef creates some of the best left swells along the entire coastline. </t>
  </si>
  <si>
    <t>https://www.californiabeaches.com/beach/dana-strand-beach/</t>
  </si>
  <si>
    <t>Dana Strand Beach is a public beach at the base of a gated housing development in Dana Point called “The Strand.” These are huge beachfront and hillside homes just north of the Dana Point Headlands that face southwest. The beach here is a nice sandy sunbathing spot that is also popular with surfers.</t>
  </si>
  <si>
    <t xml:space="preserve">34199 Selva Rd, Dana Point, CA </t>
  </si>
  <si>
    <t xml:space="preserve">Dana Strand Beach is a public beach at the base of a gated housing development in Dana Point called “The Strand.” </t>
  </si>
  <si>
    <t>Dana Point - The Strand Beach</t>
  </si>
  <si>
    <t>DP - Strand</t>
  </si>
  <si>
    <t>https://www.parks.ca.gov/?page_id=642</t>
  </si>
  <si>
    <t>HB - Bolsa</t>
  </si>
  <si>
    <r>
      <t>Bolsa Chica State Beach </t>
    </r>
    <r>
      <rPr>
        <sz val="8"/>
        <color rgb="FF121214"/>
        <rFont val="Arial"/>
        <family val="2"/>
      </rPr>
      <t>is a popular state beach, drawing hundreds of thousands of visitors to its location south of the community of Sunset Beach in Orange County. This area was once called "Tin Can Beach" and became a state beach in 1960. Bolsa Chica is a perfect place to go surfing, sunbathing, play volleyball, enjoy water sports, hold family outings or to watch the sun set. Average summer temperatures range in the high 70's-80's, while winter brings slightly cooler temperatures to the mid-60's. The beach consistently draws prime waves and the surf breaks in shallower water, causing incoming waves to form a desirable curled shape as they crest.</t>
    </r>
  </si>
  <si>
    <r>
      <t>Bolsa Chica State Beach </t>
    </r>
    <r>
      <rPr>
        <sz val="8"/>
        <color rgb="FF121214"/>
        <rFont val="Arial"/>
        <family val="2"/>
      </rPr>
      <t>is a popular state beach, drawing hundreds of thousands of visitors to its location south of the community of Sunset Beach in OC.</t>
    </r>
  </si>
  <si>
    <t>17851 Pacific Coast Hwy, Huntington Beach</t>
  </si>
  <si>
    <t>https://www.dogbeach.org/</t>
  </si>
  <si>
    <t xml:space="preserve">100 Goldenwest St., Huntington Beach, CA </t>
  </si>
  <si>
    <t>HB - Dog</t>
  </si>
  <si>
    <r>
      <rPr>
        <sz val="9"/>
        <color rgb="FF232323"/>
        <rFont val="Arial"/>
        <family val="2"/>
      </rPr>
      <t>One of the most popular dog-friendly beaches in southern California, the Huntington Beach Dog Beach is this stretch of sand sits along the Pacific Coast Highway (PCH) between Seapoint Avenue and 21st Street, and it’s a great chance for Spot to stretch her legs and snag some playtime with other beach-lovin’ dogs while you catch some sun. And extra time along the PCH is never a bad thing. Enjoy an oceanfront view of Surf City USA® beaches with your dog at Huntington Beach's </t>
    </r>
    <r>
      <rPr>
        <sz val="9"/>
        <color theme="1"/>
        <rFont val="Arial"/>
        <family val="2"/>
      </rPr>
      <t>pet-friendly oceanfront hotels</t>
    </r>
    <r>
      <rPr>
        <sz val="9"/>
        <color rgb="FF232323"/>
        <rFont val="Arial"/>
        <family val="2"/>
      </rPr>
      <t>. </t>
    </r>
  </si>
  <si>
    <t>Huntington Beach Dog Beach is this stretch of sand sits along the Pacific Coast Highway &amp; it’s a great chance for Spot to stretch her legs &amp; snag some playtime.</t>
  </si>
  <si>
    <t xml:space="preserve">Brookhurst St &amp; CA-1, Huntington Beach, CA </t>
  </si>
  <si>
    <t>HB - JG</t>
  </si>
  <si>
    <t>https://www.californiabeaches.com/beach/jg-island-beach/</t>
  </si>
  <si>
    <t>JG Island Beach is the southern end of Huntington State Beach at the north side of the Santa Ana River Channel. This relatively unknown spot is next to the popular state park is frequented by surfers and bird-watchers.The beach is just a quarter mile long due to two waterways cutting through on each end, Santa Ana River and the Talbert/Huntington Beach Channel. Most of this “island” west of Pacific Coast Highway is blocked off in an area called the Least Tern Preserve, but you can walk all around this fenced area. JG is not actually an island as it is connected to land inland of Highway 1.</t>
  </si>
  <si>
    <t>JG Island Beach is the southern end of Huntington State Beach at the north side of the Santa Ana River Channel.</t>
  </si>
  <si>
    <t>https://www.surfcityusa.com/things-to-do/beaches/sunset-beach/</t>
  </si>
  <si>
    <t>HB - Sunset</t>
  </si>
  <si>
    <t>Sunset Beach in Huntington Beach, CA, is a quaint beach town that offers visitors a relaxed and welcoming atmosphere, making it a perfect destination for a peaceful getaway or an adventurous vacation. Stretching just 1.5 miles from Anderson Street to Warner Avenue, it features one of the widest beaches in Southern California and a parallel pastoral 14-acre park known as the "Green Belt," where residents of the quiet seaside community walk their dogs, and children enjoy the playground.</t>
  </si>
  <si>
    <t xml:space="preserve">Sunset Beach is a dream destination for beach lovers &amp; water enthusiasts with its miles of sandy shores, world-class surf breaks &amp; charming beachfront homes. </t>
  </si>
  <si>
    <t>17281 Pacific Coast Hwy, Huntington Beach, CA</t>
  </si>
  <si>
    <t>https://www.surfcityusa.com/things-to-do/beaches/huntington-city-beach/</t>
  </si>
  <si>
    <t>HB - City</t>
  </si>
  <si>
    <r>
      <t>This stretch of sand sits along the Pacific Coast Highway (PCH) between Goldenwest St. and Beach Blvd, and it’s a great chance to see professional surfers </t>
    </r>
    <r>
      <rPr>
        <sz val="9"/>
        <color theme="1"/>
        <rFont val="Arial"/>
        <family val="2"/>
      </rPr>
      <t>surf</t>
    </r>
    <r>
      <rPr>
        <sz val="9"/>
        <color rgb="FF232323"/>
        <rFont val="Arial"/>
        <family val="2"/>
      </rPr>
      <t> while you catch some sun. Huntington City Beach offers various amenities such as </t>
    </r>
    <r>
      <rPr>
        <sz val="9"/>
        <color theme="1"/>
        <rFont val="Arial"/>
        <family val="2"/>
      </rPr>
      <t>volleyball courts</t>
    </r>
    <r>
      <rPr>
        <sz val="9"/>
        <color rgb="FF232323"/>
        <rFont val="Arial"/>
        <family val="2"/>
      </rPr>
      <t>, </t>
    </r>
    <r>
      <rPr>
        <sz val="9"/>
        <color theme="1"/>
        <rFont val="Arial"/>
        <family val="2"/>
      </rPr>
      <t>bonfire pits</t>
    </r>
    <r>
      <rPr>
        <sz val="9"/>
        <color rgb="FF232323"/>
        <rFont val="Arial"/>
        <family val="2"/>
      </rPr>
      <t>, and of course the iconic </t>
    </r>
    <r>
      <rPr>
        <sz val="9"/>
        <color theme="1"/>
        <rFont val="Arial"/>
        <family val="2"/>
      </rPr>
      <t>Huntington Beach Pier</t>
    </r>
    <r>
      <rPr>
        <sz val="9"/>
        <color rgb="FF232323"/>
        <rFont val="Arial"/>
        <family val="2"/>
      </rPr>
      <t> spanning 1,850 feet in length. Our pier sits in the heart of Huntington Beach and allows visitors and locals alike to experience the breathtaking views amidst the sounds of crashing waves and the ocean breeze. Enjoy an oceanfront view of Huntington City Beach at one of Huntington Beach's </t>
    </r>
    <r>
      <rPr>
        <sz val="9"/>
        <color theme="1"/>
        <rFont val="Arial"/>
        <family val="2"/>
      </rPr>
      <t>oceanfront hotels.</t>
    </r>
  </si>
  <si>
    <t>Huntington City Beach is a stretch of sand sits along the Pacific Coast Highway (PCH) between Goldenwest St. and Beach Blvd.</t>
  </si>
  <si>
    <t>400 Pacific Coast Highway Huntington Beach, CA</t>
  </si>
  <si>
    <t xml:space="preserve">21601 Pacific Coast Hwy, Huntington Beach, CA </t>
  </si>
  <si>
    <t>HB - State</t>
  </si>
  <si>
    <t>https://www.parks.ca.gov/?page_id=643</t>
  </si>
  <si>
    <r>
      <t>Huntington State Beach</t>
    </r>
    <r>
      <rPr>
        <sz val="8"/>
        <color rgb="FF121214"/>
        <rFont val="Arial"/>
        <family val="2"/>
      </rPr>
      <t> is located in the City of Huntington Beach in Orange County. The 121 acre state beach is a popular destination for water enthusiasts of all ages and draws hundreds of thousands of visitors year round.  Huntington in a great place to surf, swim, sunbathe, fish or just watch the sun set. Average summer temperatures range in the high 70s, while winter brings slightly cooler mid-60-degree weather. Morning fog is common. There are volleyball courts, basketball courts, fire-rings for bonfires and a multi-use trail. A paved beachside trail runs for 8.5 miles between Huntington and Bolsa Chica State Beaches, with the 3.5-mile Huntington City Beach wedged between them. Huntington was gifted to the state in 1942 and became a California state beach in 1963.</t>
    </r>
  </si>
  <si>
    <r>
      <t>Huntington State Beach</t>
    </r>
    <r>
      <rPr>
        <sz val="8"/>
        <color rgb="FF121214"/>
        <rFont val="Arial"/>
        <family val="2"/>
      </rPr>
      <t> is located in the City of Huntington Beach in Orange County and is 121 acres.</t>
    </r>
  </si>
  <si>
    <t xml:space="preserve">31972 Coast Hwy, Laguna Beach, CA </t>
  </si>
  <si>
    <t>Laguna - 1000</t>
  </si>
  <si>
    <t>https://www.visitlagunabeach.com/things-to-do/beaches/thousand-steps/</t>
  </si>
  <si>
    <t>https://www.visitlagunabeach.com/things-to-do/beaches/agate-street-beach/</t>
  </si>
  <si>
    <t>Laguna - Agate</t>
  </si>
  <si>
    <t>Agate Street Beach might not be Laguna’s most famous stretch of sand, but that’s what makes this spot such a gem. Backed by towering sandstone cliffs and a few stunning homes, this beach is perfect for laid-back types who want to lounge without the crowds. Whether you’re there to picnic, soak in the ocean, or watch the sunset from the viewing platform, halfway up the concrete steps, Agate keeps it mellow for locals and visitors alike. The keyword here is ease. The beach is far enough south on PCH (Pacific Coast Highway) that parking is readily available, even in the summer months. Access is simple too, with a newly unveiled staircase, bike rack, and bench. Once you reach the sand, the trend continues – you can tuck right up to the cliffs with a beach blanket and settle in to watch the sunset. There’s almost always plenty of space.</t>
  </si>
  <si>
    <t>Agate Street Beach might not be Laguna’s most famous stretch of sand, but that’s what makes this spot such a gem. </t>
  </si>
  <si>
    <t xml:space="preserve">1715 Ocean Way, Laguna Beach, CA </t>
  </si>
  <si>
    <t>https://www.visitlagunabeach.com/things-to-do/beaches/aliso-beach/</t>
  </si>
  <si>
    <t>Laguna - Aliso</t>
  </si>
  <si>
    <t>Aliso Beach Park is perhaps the most widely renowned of all of Laguna’s beaches. It’s the only one with metered on-site parking, which makes getting to the sand a breeze. More notably, it’s home to Lost Pier Cafe – perfect for families who need a beach snack! The real reason “Aliso Creek,” as it’s most commonly called, is famous is that it plays host to The Vic – the annual world championship of skimboarding.</t>
  </si>
  <si>
    <t xml:space="preserve">Aliso Beach Park is perhaps the most widely renowned of all of Laguna’s beaches. With metered on-site parking, which makes getting to the sand a breeze. </t>
  </si>
  <si>
    <t>https://www.californiabeaches.com/beach/anita-street-beach/</t>
  </si>
  <si>
    <t>Laguna - Anita</t>
  </si>
  <si>
    <t xml:space="preserve">Gaviota Dr &amp; Anita St., Laguna Beach, CA </t>
  </si>
  <si>
    <t xml:space="preserve">Anita Street Beach is another tucked away beach access in Laguna Beach, California. When you get to the end of Anita Street at Gaviota Drive (west of South Coast Highway) keep walking toward the beach down a pedestrian-only walkway. You’ll get to a platform with a view and the start of a long stairway which will get you to the sand.Anita Street Beach is a lesser-known access to the extended shoreline in Laguna Beach where you can go for a long beach walk in either direction if the route is dry. </t>
  </si>
  <si>
    <t>Anita Street Beach is tucked away, so when you get to the end of Anita Street at Gaviota Drive keep walking toward the beach down a pedestrian-only walkway.</t>
  </si>
  <si>
    <t>https://www.visitlagunabeach.com/things-to-do/beaches/bluebird-beach/</t>
  </si>
  <si>
    <t>Laguna - Bluebird</t>
  </si>
  <si>
    <r>
      <t>Just down the hill from Bluebird Canyon, not even a half-mile from Laguna Beach’s beloved </t>
    </r>
    <r>
      <rPr>
        <sz val="10"/>
        <color theme="1"/>
        <rFont val="Arial"/>
        <family val="2"/>
      </rPr>
      <t>Bluebird Park</t>
    </r>
    <r>
      <rPr>
        <sz val="10"/>
        <color rgb="FF444645"/>
        <rFont val="Arial"/>
        <family val="2"/>
      </rPr>
      <t>, sits a swath of sand beloved by bodysurfers and sun seekers. This wide stretch of beach – which runs in front of </t>
    </r>
    <r>
      <rPr>
        <sz val="10"/>
        <color theme="1"/>
        <rFont val="Arial"/>
        <family val="2"/>
      </rPr>
      <t>Surf &amp; Sand Resort</t>
    </r>
    <r>
      <rPr>
        <sz val="10"/>
        <color rgb="FF444645"/>
        <rFont val="Arial"/>
        <family val="2"/>
      </rPr>
      <t> – has plenty of room for laying out, picnicking, and playing along the waterline. In this stretch of town (south of the bustling center but north of “SoLag” (or South Laguna), you won’t find a better place for chasing down a Frisbee or throwing the football. </t>
    </r>
  </si>
  <si>
    <r>
      <t>Just down the hill from Bluebird Canyon, not even a half-mile from Laguna Beach’s beloved </t>
    </r>
    <r>
      <rPr>
        <sz val="10"/>
        <color theme="1"/>
        <rFont val="Arial"/>
        <family val="2"/>
      </rPr>
      <t>Bluebird Park</t>
    </r>
    <r>
      <rPr>
        <sz val="10"/>
        <color rgb="FF444645"/>
        <rFont val="Arial"/>
        <family val="2"/>
      </rPr>
      <t xml:space="preserve">, is sand beloved by bodysurfers and sun seekers. </t>
    </r>
  </si>
  <si>
    <t>1613 S Coast Hwy, Laguna Beach, CA</t>
  </si>
  <si>
    <t>https://www.visitlagunabeach.com/things-to-do/beaches/brooks-street-beach/</t>
  </si>
  <si>
    <t>Laguna - Brooks</t>
  </si>
  <si>
    <t>Any conversation about Brooks Street starts and ends with surfing. The beach is home to the most famous (and arguably best) high-performance wave in the city. Goofy-footed surfers will particularly love the left at Brooks, which breaks over a few different rock reefs, depending on the swell direction and size. Note that this isn’t a wave for beginners and on big days it’s expert surfers only. </t>
  </si>
  <si>
    <t xml:space="preserve">Any conversation about Brooks Street starts and ends with surfing. The beach is home to the most famous (and arguably best) high-performance wave in the city. </t>
  </si>
  <si>
    <t xml:space="preserve">100 Brooks St, Laguna Beach, CA </t>
  </si>
  <si>
    <t>https://www.visitlagunabeach.com/things-to-do/beaches/christmas-cove/</t>
  </si>
  <si>
    <t>Laguna - Christmas</t>
  </si>
  <si>
    <r>
      <t>Christmas Cove is the northernmost beach running below Laguna’s world-renowned resort, </t>
    </r>
    <r>
      <rPr>
        <sz val="10"/>
        <color theme="1"/>
        <rFont val="Arial"/>
        <family val="2"/>
      </rPr>
      <t>Montage Laguna Beach</t>
    </r>
    <r>
      <rPr>
        <sz val="10"/>
        <color rgb="FF444645"/>
        <rFont val="Arial"/>
        <family val="2"/>
      </rPr>
      <t>. Though it’s no trouble at all to get to – with parking often available along PCH and a long ramp offering wheelchair access – this beach remains far less crowded than </t>
    </r>
    <r>
      <rPr>
        <sz val="10"/>
        <color theme="1"/>
        <rFont val="Arial"/>
        <family val="2"/>
      </rPr>
      <t>Goff Cove</t>
    </r>
    <r>
      <rPr>
        <sz val="10"/>
        <color rgb="FF444645"/>
        <rFont val="Arial"/>
        <family val="2"/>
      </rPr>
      <t>, just steps to the south, or T</t>
    </r>
    <r>
      <rPr>
        <sz val="10"/>
        <color theme="1"/>
        <rFont val="Arial"/>
        <family val="2"/>
      </rPr>
      <t>reasure Island</t>
    </r>
    <r>
      <rPr>
        <sz val="10"/>
        <color rgb="FF444645"/>
        <rFont val="Arial"/>
        <family val="2"/>
      </rPr>
      <t>, right below the Montage. </t>
    </r>
  </si>
  <si>
    <r>
      <t>Christmas Cove is the northernmost beach running below Laguna’s world-renowned resort, </t>
    </r>
    <r>
      <rPr>
        <sz val="10"/>
        <color theme="1"/>
        <rFont val="Arial"/>
        <family val="2"/>
      </rPr>
      <t>Montage Laguna Beach</t>
    </r>
    <r>
      <rPr>
        <sz val="10"/>
        <color rgb="FF444645"/>
        <rFont val="Arial"/>
        <family val="2"/>
      </rPr>
      <t xml:space="preserve">. </t>
    </r>
  </si>
  <si>
    <t>https://www.visitlagunabeach.com/things-to-do/beaches/cleo-street-beach/</t>
  </si>
  <si>
    <t>Laguna - Cleo</t>
  </si>
  <si>
    <r>
      <t>Cleo Street may be </t>
    </r>
    <r>
      <rPr>
        <sz val="10"/>
        <color theme="1"/>
        <rFont val="Arial"/>
        <family val="2"/>
      </rPr>
      <t>Main Beach</t>
    </r>
    <r>
      <rPr>
        <sz val="10"/>
        <color rgb="FF444645"/>
        <rFont val="Arial"/>
        <family val="2"/>
      </rPr>
      <t>-adjacent, but it feels far quieter. On any given morning you’re likely to see a half-dozen couples walking hand in hand while sipping coffees from the </t>
    </r>
    <r>
      <rPr>
        <sz val="10"/>
        <color theme="1"/>
        <rFont val="Arial"/>
        <family val="2"/>
      </rPr>
      <t>Orange Inn</t>
    </r>
    <r>
      <rPr>
        <sz val="10"/>
        <color rgb="FF444645"/>
        <rFont val="Arial"/>
        <family val="2"/>
      </rPr>
      <t>. If the swell is right, you might also spot a surfer or two, paddling for a wave at the north end of the beach, where </t>
    </r>
    <r>
      <rPr>
        <sz val="10"/>
        <color theme="1"/>
        <rFont val="Arial"/>
        <family val="2"/>
      </rPr>
      <t>Cleo </t>
    </r>
    <r>
      <rPr>
        <sz val="10"/>
        <color rgb="FF444645"/>
        <rFont val="Arial"/>
        <family val="2"/>
      </rPr>
      <t>and </t>
    </r>
    <r>
      <rPr>
        <sz val="10"/>
        <color theme="1"/>
        <rFont val="Arial"/>
        <family val="2"/>
      </rPr>
      <t>Sleepy Hollow</t>
    </r>
    <r>
      <rPr>
        <sz val="10"/>
        <color rgb="FF444645"/>
        <rFont val="Arial"/>
        <family val="2"/>
      </rPr>
      <t> meet.</t>
    </r>
  </si>
  <si>
    <r>
      <t>Cleo Street may be </t>
    </r>
    <r>
      <rPr>
        <sz val="10"/>
        <color theme="1"/>
        <rFont val="Arial"/>
        <family val="2"/>
      </rPr>
      <t>Main Beach</t>
    </r>
    <r>
      <rPr>
        <sz val="10"/>
        <color rgb="FF444645"/>
        <rFont val="Arial"/>
        <family val="2"/>
      </rPr>
      <t>-adjacent, but it feels quieter. On any morning you’re likely see couples holding hands while sipping coffees from the </t>
    </r>
    <r>
      <rPr>
        <sz val="10"/>
        <color theme="1"/>
        <rFont val="Arial"/>
        <family val="2"/>
      </rPr>
      <t>Orange Inn</t>
    </r>
    <r>
      <rPr>
        <sz val="10"/>
        <color rgb="FF444645"/>
        <rFont val="Arial"/>
        <family val="2"/>
      </rPr>
      <t xml:space="preserve">. </t>
    </r>
  </si>
  <si>
    <t xml:space="preserve">120 Cleo St Laguna Beach, CA </t>
  </si>
  <si>
    <t>1259 Cliff Dr, Laguna Beach, CA</t>
  </si>
  <si>
    <t>Laguna - Crescent</t>
  </si>
  <si>
    <t>https://www.visitlagunabeach.com/things-to-do/beaches/crescent-bay-beach/</t>
  </si>
  <si>
    <t>https://www.visitlagunabeach.com/things-to-do/beaches/cress-street-beach/</t>
  </si>
  <si>
    <t>Laguna - Cress</t>
  </si>
  <si>
    <t>What a difference a headland makes. Cress Street Beach is separated from the south end of Brooks Street Beach by about 70 feet where the rocks jut into the water. And that simple, craggy outcropping changes the game – officially separating the downtown beaches from those that are a little further afield (and therefore less crowded). </t>
  </si>
  <si>
    <t xml:space="preserve">Cress Street Beach is separated from the south end of Brooks Street Beach by about 70 feet where the rocks jut into the water. </t>
  </si>
  <si>
    <t xml:space="preserve">150 Cress St Laguna Beach, CA </t>
  </si>
  <si>
    <t>https://www.crystalcovestatepark.org/</t>
  </si>
  <si>
    <t>Laguna - Crystal</t>
  </si>
  <si>
    <t xml:space="preserve">8471 North Coast Hwy, Laguna Beach, CA </t>
  </si>
  <si>
    <t>Crystal Cove State Park's rolling surf, sandy beaches, tidepools, gently sloping hills, and deeply wooded canyons and ridges provide a delightful contrast to its urban surroundings.  Located off busy Pacific Coast Highway between Corona del Mar and Laguna Beach, Crystal Cove is one of Orange County's largest remaining examples of open space and natural seashore.</t>
  </si>
  <si>
    <t xml:space="preserve">Crystal Cove State Park's rolling surf, sandy beaches, tidepools, sloping hills &amp; wooded canyons &amp; ridges provide a contrast to the urban surroundings.  </t>
  </si>
  <si>
    <t>Laguna - Emerald Bay Beach</t>
  </si>
  <si>
    <t>https://www.visitlagunabeach.com/things-to-do/beaches/divers-cove/</t>
  </si>
  <si>
    <t>Laguna - Divers</t>
  </si>
  <si>
    <t>https://www.californiabeaches.com/beach/emerald-bay-beach/</t>
  </si>
  <si>
    <t>Laguna - Emerald</t>
  </si>
  <si>
    <t>Emerald Bay Beach is a private beach that is only open to residents of the gated community of Emerald Bay in north Laguna Beach, California. The homes in this community on both sides of Pacific Coast Highway have access to this half-mile wide sandy beach.</t>
  </si>
  <si>
    <t xml:space="preserve">Emerald Bay Beach is a private beach that is only open to residents of the gated community of Emerald Bay in north Laguna Beach, California. </t>
  </si>
  <si>
    <t xml:space="preserve">76 Valley Inn Dr., Laguna Beach, CA </t>
  </si>
  <si>
    <t>https://www.visitlagunabeach.com/things-to-do/beaches/fishermans-cove/</t>
  </si>
  <si>
    <t>Laguna - Fishermans</t>
  </si>
  <si>
    <t>“Fisherman’s,” as residents call it, is the North Laguna version of Table Rock Beach – a local favorite, full of secrets. The beach is just north of Diver’s Cove and south of Shaw’s Cove, separated from both by rocky outcroppings. Though it’s not private, it sort of has that feel – the southern access point passes houses and the residents keep their SUPs (Stand-Up Paddling) and kayaks locked up on the bluffs.</t>
  </si>
  <si>
    <t>“Fisherman’s,” as residents call it, is the North Laguna version of Table Rock Beach. The beach is just north of Diver’s Cove and south of Shaw’s Cove.</t>
  </si>
  <si>
    <t xml:space="preserve">665 Cliff Dr. Laguna Beach, CA </t>
  </si>
  <si>
    <t>https://www.visitlagunabeach.com/things-to-do/beaches/goff-cove/</t>
  </si>
  <si>
    <t>Laguna - Goff</t>
  </si>
  <si>
    <t>Goff Cove, just south of Christmas Cove and just north of Middle Man cove (a tiny hidden beach with no direct access) is one of Laguna’s best beaches for balancing accessibility with isolation. Protected from the waves and wind by the craggy Goff Island, the beach is ideal for young families. Nearby access to bathrooms, ramps, PCH parking, plus a parking garage on Wesley Drive, and the grassy lawn of Montage resort make this a shockingly accessible place to spend a sunny day.</t>
  </si>
  <si>
    <t>Goff Cove, just south of Christmas Cove (a tiny hidden beach with no direct access) is one of Laguna’s best beaches for balancing accessibility with isolation.</t>
  </si>
  <si>
    <t xml:space="preserve">30801 Coast Hwy Laguna Beach, CA </t>
  </si>
  <si>
    <t>Irvine Cove Beach is a beautiful beach is only accessible via the private community of Irvine Cove. The two parts of the beach are separated by a rocky point that has a tunnel for passing through during very low tides. The majority of the people who visit this beach enjoy the larger, southern section of the cove.</t>
  </si>
  <si>
    <t>https://www.lagunabeachcity.net/Home/Components/FacilityDirectory/FacilityDirectory/28/319</t>
  </si>
  <si>
    <t>Laguna - Irvine</t>
  </si>
  <si>
    <t xml:space="preserve">Irvine Cove Dr, Laguna Beach, CA </t>
  </si>
  <si>
    <t xml:space="preserve">Irvine Cove Beach is a beautiful beach is only accessible via the private community of Irvine Cove. </t>
  </si>
  <si>
    <t>https://www.visitlagunabeach.com/things-to-do/beaches/main-beach/</t>
  </si>
  <si>
    <t>Laguna - Main</t>
  </si>
  <si>
    <t xml:space="preserve">Main Beach Laguna Beach, CA </t>
  </si>
  <si>
    <t>https://www.californiabeaches.com/beach/middle-man-cove/</t>
  </si>
  <si>
    <t>Laguna - Middle</t>
  </si>
  <si>
    <t>30801 Coast Hwy, Laguna Beach, CA</t>
  </si>
  <si>
    <t xml:space="preserve">Middle Man Cove is the name given to the beach between Goff Cove and Treasure Island Beach and is below the Montage Resort in Laguna Beach. </t>
  </si>
  <si>
    <t>https://www.visitlagunabeach.com/directory/montage-laguna-beach/</t>
  </si>
  <si>
    <t>Laguna - Montage</t>
  </si>
  <si>
    <t>Middle Man Cove Beach is the name given to the beach between Goff Cove and Treasure Island Beach and is below the Montage Resort in Laguna Beach. This is a small sandy south-facing cove that is only accessed by climbing over rocks from either of those other two beaches. The path from Treasure Island Beach goes through a natural arch in the rock wall.</t>
  </si>
  <si>
    <t>With sweeping panoramas of the Pacific and striking Craftsman-style architecture, Montage Beach is situated on 30 acres in the heart of Laguna Beach. The luxury 262-room resort offers elegant beachfront accommodations, an oceanfront spa, three sparkling swimming pools, regional, distinctive dining – including Studio, the resort’s signature restaurant, a museum-quality collection of fine art, and stunning indoor/outdoor meeting space.   </t>
  </si>
  <si>
    <t xml:space="preserve">With sweeping panoramas of the Pacific and striking Craftsman-style architecture, Montage Beach is situated on 30 acres in the heart of Laguna Beach. </t>
  </si>
  <si>
    <t>https://www.visitlagunabeach.com/things-to-do/beaches/moss-cove/</t>
  </si>
  <si>
    <t>Laguna - Moss</t>
  </si>
  <si>
    <t>Moss Cove Beach is the last public beach at the southern end of the downtown area, before Victoria Street marks the beginning of “SoLag” (or South Laguna). Bordered by craggy rocks, there isn’t much to Moss Cove – other than beautiful scenery above and below the water, that is. Divers and snorkelers adore this spot for its kelp beds and abundant sea life</t>
  </si>
  <si>
    <t>Moss Cove Beach is the last public beach at the southern end of the downtown area, before Victoria Street marks the beginning of “SoLag” (or South Laguna).</t>
  </si>
  <si>
    <t xml:space="preserve">139 Moss St, Laguna Beach, CA </t>
  </si>
  <si>
    <t>101 Mountain Rd, Laguna Beach, CA</t>
  </si>
  <si>
    <t>Laguna - Mountain</t>
  </si>
  <si>
    <t>https://www.visitlagunabeach.com/things-to-do/beaches/mountain-street-beach/</t>
  </si>
  <si>
    <t>Mountain Street beach is the only beach in the city that’s most notable for its entry point. The Garden of Peace and Love, sitting atop the access stairs, is a memorial to those who have died of aids. The quaint space is neatly manicured and touched off with cherub statues. It’s a reminder of Laguna Beach’s progressive LGBTQ history and a tranquil place to spend a few minutes before hitting the sand.  </t>
  </si>
  <si>
    <t>Mountain Street Beach is the only beach in the city that’s most notable for its entry point, the Garden of Peace and Love, sitting atop the access stairs.</t>
  </si>
  <si>
    <t xml:space="preserve">155 Oak St Laguna Beach, CA </t>
  </si>
  <si>
    <t>Laguna - Oak</t>
  </si>
  <si>
    <t>https://www.visitlagunabeach.com/things-to-do/beaches/oak-street-beach/</t>
  </si>
  <si>
    <r>
      <t>Oak Street Beach is one of Laguna’s all-time underrated beaches. When the swell comes in from the north, it’s one of the best, most low-key surf breaks in town. It’s also one step further away from </t>
    </r>
    <r>
      <rPr>
        <sz val="10"/>
        <color theme="1"/>
        <rFont val="Arial"/>
        <family val="2"/>
      </rPr>
      <t>Main Beach</t>
    </r>
    <r>
      <rPr>
        <sz val="10"/>
        <color rgb="FF444645"/>
        <rFont val="Arial"/>
        <family val="2"/>
      </rPr>
      <t> than its more popular neighbor, </t>
    </r>
    <r>
      <rPr>
        <sz val="10"/>
        <color theme="1"/>
        <rFont val="Arial"/>
        <family val="2"/>
      </rPr>
      <t>Thalia Street</t>
    </r>
    <r>
      <rPr>
        <sz val="10"/>
        <color rgb="FF444645"/>
        <rFont val="Arial"/>
        <family val="2"/>
      </rPr>
      <t>. And the approach is one of the easiest too, with new stairs and a viewing deck added in 2017. </t>
    </r>
  </si>
  <si>
    <t>Oak Street Beach is one of Laguna’s all-time underrated beaches. When the swell comes in from the north, it’s one of the best, most low-key surf breaks in town.</t>
  </si>
  <si>
    <t>Laguna - Pearl Street Beach</t>
  </si>
  <si>
    <t xml:space="preserve">791 Ocean Way, Laguna Beach, CA </t>
  </si>
  <si>
    <t>Laguna - Pearl</t>
  </si>
  <si>
    <t>https://www.californiabeaches.com/beach/pearl-street-beach/</t>
  </si>
  <si>
    <t>Pearl Street Beach is located below a stairway that begins at the west end of Pearl Street in Laguna Beach. Pearl Street ends at Ocean Way just one block off South Coast Highway (Hwy 1). Pearl Street Beach is a pleasant sandy west-facing beach with several homes built right down to the beach level. North of Pearl Street Beach those walking on the sand will find more beaches named for their street access points at Agate Steet, Bluebird Canyon Drive, Mountain Road, and more. Walking the beach in that direction leads as far as you want to go with Main Beach well over a mile from here.</t>
  </si>
  <si>
    <t>Pearl Street Beach is located below a stairway that begins at the west end of Pearl Street in Laguna Beach.</t>
  </si>
  <si>
    <t>https://www.visitlagunabeach.com/things-to-do/beaches/picnic-beach/</t>
  </si>
  <si>
    <t>Laguna - Picnic</t>
  </si>
  <si>
    <t>In all of Laguna Beach, Picnic Beach wins the award for accessibility. It’s easy to reach, with a fair bit of parking on Cliff Drive; there are bathrooms just steps away, at Heisler Park; and the sand is reached via a ramp, meaning that it’s easily manageable for wheelchairs. Once you set foot on the beach, you’ll be treated to a nice swath of sand, backed by sandstone bluffs. </t>
  </si>
  <si>
    <t>In Laguna Beach, Picnic Beach is easy to reach, with a fair bit of parking on Cliff Drive; there are bathrooms just steps away at Heisler Park.</t>
  </si>
  <si>
    <t>Picnic Cove, Laguna Beach, CA</t>
  </si>
  <si>
    <t>Laguna - Rockpile</t>
  </si>
  <si>
    <t>https://www.californiabeaches.com/beach/rockpile-beach/</t>
  </si>
  <si>
    <t>400 Cliff Dr, Laguna Beach, CA</t>
  </si>
  <si>
    <t>https://www.visitlagunabeach.com/things-to-do/beaches/shaws-cove/</t>
  </si>
  <si>
    <t>Laguna - Shaws</t>
  </si>
  <si>
    <t xml:space="preserve">Shaw's Cove Laguna Beach, CA </t>
  </si>
  <si>
    <t xml:space="preserve">Diver's Cove Laguna Beach, CA </t>
  </si>
  <si>
    <t>Christmas Cove Laguna Beach, CA</t>
  </si>
  <si>
    <t xml:space="preserve">Aliso Beach Laguna Beach, CA </t>
  </si>
  <si>
    <t>https://www.visitlagunabeach.com/things-to-do/beaches/sleepy-hollow-beach/</t>
  </si>
  <si>
    <t>Laguna - Sleepy</t>
  </si>
  <si>
    <t>Hands down, this has to be the most accurately named beach in Laguna Beach. It is indeed sleepy – especially considering its proximity to bustling Main Beach. Locals walking their dogs, and coffees in hand, are perhaps the most common sight here. It’s also a low-key surf spot, beloved by local surfers hoping to escape the crowds on a big swell. </t>
  </si>
  <si>
    <t xml:space="preserve">Hands down, this has to be the most accurately named beach in Laguna Beach. It is indeed sleepy – especially considering its proximity to bustling Main Beach. </t>
  </si>
  <si>
    <t xml:space="preserve">Sleepy Hollow Laguna Beach, CA </t>
  </si>
  <si>
    <t xml:space="preserve">125 St Ann's Dr Laguna Beach, CA </t>
  </si>
  <si>
    <t>Laguna - St. Ann</t>
  </si>
  <si>
    <t>https://www.californiabeaches.com/beach/st-anns-street-beach/</t>
  </si>
  <si>
    <t>St. Ann’s Beach is a narrow sandy beach at the end of St. Ann’s Drive in Laguna Beach. Surfing and bodyboarding are both popular here. At times a lifeguard station will be manned, but don’t swim here unless they say it is safe. The rip current at St Ann’s is considered the strongest in Laguna due to a break in the reefs just offshore. Swim to the side (along the shore) if you get caught in the current as it’s a futile effort to try and swim in against the current.</t>
  </si>
  <si>
    <t xml:space="preserve">St. Ann’s Beach is a narrow sandy beach at the end of St. Ann’s Drive in Laguna Beach. Surfing and bodyboarding are both popular here. </t>
  </si>
  <si>
    <t>31561 Table Rock Dr, Laguna Beach, CA</t>
  </si>
  <si>
    <t>Laguna - Table</t>
  </si>
  <si>
    <t>https://www.californiabeaches.com/beach/table-rock-beach/</t>
  </si>
  <si>
    <t>Table Rock Beach is a locally-known tucked away beach in south Laguna Beach, California. This is an excellent sandy beach in a deep cove with homes high above. Rocks of all shapes and sizes exist near the center of the cove and there’s a massive cave at the back of the beach. The main rock in the center of the beach is Table Rock which you can go out onto. It’s a great place to be during sunsets. In that area you’ll find tidepools when the tide rolls out.</t>
  </si>
  <si>
    <t xml:space="preserve">Table Rock Beach is a locally-known tucked away beach in south Laguna Beach, California. This is an excellent sandy beach in a deep cove with homes high above. </t>
  </si>
  <si>
    <t xml:space="preserve">139 Thalia St Laguna Beach, CA </t>
  </si>
  <si>
    <t>Laguna - Thalia</t>
  </si>
  <si>
    <t>https://www.visitlagunabeach.com/things-to-do/beaches/thalia-street-beach/</t>
  </si>
  <si>
    <t>Laguna Beach’s most widely-known surf break, is Thalia Street Beach. The most optimal (and really only) learning spot in town. A beach so beloved that by midsummer many families don’t even discuss their Saturday plans – it’s all Thalia Street, all the time. For what it’s worth, Thalia Street Beach deserves its much fawned-over status. The surf break is gentle, consistent, and ride-able on more days than any other spot in the city. It’s also an easy walk to Main Beach or Downtown.</t>
  </si>
  <si>
    <t xml:space="preserve">Laguna Beach’s most widely-known surf break, is Thalia Street Beach. The most optimal (and really only) learning spot in town. </t>
  </si>
  <si>
    <t>https://www.californiabeaches.com/beach/three-arch-bay-beach/</t>
  </si>
  <si>
    <t>Laguna - Three</t>
  </si>
  <si>
    <t xml:space="preserve">Coast Hwy &amp; Vista Del Sol Laguna Beach, CA </t>
  </si>
  <si>
    <t>Three Arch Bay Beach is on Mussel Cove in the private gated community of Three Arch Bay in South Laguna Beach. Mussel Cove is walled off on both ends by cliffs and backed by high bluffs with homes on top so unfortunately there is no access into the cove from adjacent beaches.</t>
  </si>
  <si>
    <t xml:space="preserve">Three Arch Bay Beach is on Mussel Cove in the private gated community of Three Arch Bay in South Laguna Beach. </t>
  </si>
  <si>
    <t>https://www.visitlagunabeach.com/things-to-do/beaches/totuava/</t>
  </si>
  <si>
    <t>Laguna - Totuava</t>
  </si>
  <si>
    <t>If you’ve lived in Laguna Beach long enough, you’re sure to have a Totuava story. This little-known beach is the least accessible in town, but most locals have visited at least a few times. It’s a matter of bragging rights in a city where so many of the beaches are easily accessible. </t>
  </si>
  <si>
    <t>If you’ve lived in Laguna Beach long enough, you’re sure to have a Totuava story. This little-known beach is the least accessible in town.</t>
  </si>
  <si>
    <t xml:space="preserve">Coast Hwy &amp; 9th Ave Laguna Beach, CA </t>
  </si>
  <si>
    <t>https://www.visitlagunabeach.com/things-to-do/beaches/treasure-island/</t>
  </si>
  <si>
    <t>Laguna - Treasure</t>
  </si>
  <si>
    <t xml:space="preserve">Treasure Island Laguna Beach, CA </t>
  </si>
  <si>
    <t>https://www.californiabeaches.com/beach/victoria-beach/</t>
  </si>
  <si>
    <t>Laguna - Victoria</t>
  </si>
  <si>
    <t xml:space="preserve">2713 Victoria Dr. Laguna Beach, CA </t>
  </si>
  <si>
    <t>Victoria Beach is a long white sand beach south of Victoria Drive in Laguna Beach. The majority of this southwest-facing beach lies in front of the private Lagunita housing development with many of the mansions built right to beach level. Vic Beach, as it is known locally, is a sunbathing beach that is home to a picturesque “pirate tower” that you’ll want to check out.</t>
  </si>
  <si>
    <t xml:space="preserve">Victoria Beach is a long white sand beach south of Victoria Drive. The beach access isn’t easy to see, but it’s right next to address 2713 Victoria Drive. </t>
  </si>
  <si>
    <t>https://www.visitlagunabeach.com/things-to-do/beaches/west-street-beach/</t>
  </si>
  <si>
    <t>Laguna - West</t>
  </si>
  <si>
    <t>Just around the headland at the south end of Aliso Creek Beach, West Street Beach has a lot going for it. Huge expanses of sand, abundant tide pools, and a welcoming atmosphere make this an excellent pick for the intrepid few who aren’t overly worried about parking. The warm vibes of the beach seem to be rooted in West Street’s progressive history. It was famously known as Laguna’s preeminent gay beach for decades and is still extremely popular within the LGBTQ community. </t>
  </si>
  <si>
    <t>Just around the south end of Aliso Creek Beach, West Street Beach has a lot going for it. Huge expanses of sand, abundant tide pools &amp; a welcoming atmosphere.</t>
  </si>
  <si>
    <t xml:space="preserve">West Street Beach Laguna Beach, CA </t>
  </si>
  <si>
    <t>https://www.visitlagunabeach.com/things-to-do/beaches/woods-cove/</t>
  </si>
  <si>
    <t>Laguna - Woods</t>
  </si>
  <si>
    <t xml:space="preserve">Woods Cove Laguna Beach, CA </t>
  </si>
  <si>
    <t>As far as epic views go, it’s just about impossible to beat Crescent Bay &amp; Tide Pools. The beach is bordered to the north and south by towering cliffs.</t>
  </si>
  <si>
    <t>As far as epic views go, it’s just about impossible to beat Crescent Bay &amp; Tide Pools. The beach is bordered to the north and south by towering cliffs, pitted with caves. Between them sits a (you guessed it) crescent of golden sand – backed by stunning houses sitting atop the bluffs.</t>
  </si>
  <si>
    <t>Laguna - Crescent Bay Beach &amp; Tide Pools</t>
  </si>
  <si>
    <t>Laguna - Diver's Cove Beach &amp; Tide Pools</t>
  </si>
  <si>
    <t>True to its name, Diver’s Cove Beach &amp; Tide Pools offers the best SCUBA diving beach in Laguna Beach. It’s also ideal for snorkeling, as it’s well protected from most swells. Just offshore, you can see garibaldi, sea stars, purple urchins, lobster, and kelp bass. Occasionally, stingrays and leopard sharks can be spotted gliding across the sea floor.</t>
  </si>
  <si>
    <t xml:space="preserve">Beach &amp; Tide Pools  </t>
  </si>
  <si>
    <t>True to its name, Diver’s Cove Beach &amp; Tide Pools offers the best SCUBA diving beach in Laguna Beach. It’s also ideal for snorkeling.</t>
  </si>
  <si>
    <t>Laguna - Main Beach &amp; Tide Pools</t>
  </si>
  <si>
    <t>Among all the stretches of sand in Laguna Beach &amp; Tide Pools, none is more iconic, more recognizable, or more accessible to the masses than Main Beach. Its famous lifeguard tower often appears in TV and movies. This is one of America’s truly “must visit” beaches. It’s bucket list worthy — a place you really ought to experience for yourself.</t>
  </si>
  <si>
    <t>Among all the stretches of sand in Laguna Beach &amp; Tide Pools, none is more iconic, more recognizable, or more accessible to the masses than Main Beach.</t>
  </si>
  <si>
    <t>Laguna - Rockpile Beach &amp; Tide Pools</t>
  </si>
  <si>
    <t>Rockpile Beach &amp; Tide Pools is the southern beach of Heisler Park in Laguna Beach, California. Rockpile Beach is in a south-facing cove with rocky outcroppings at each end. At high tide this narrow beach nearly disappears, but when the tide is out excellent tide pools are exposed. Surfing and tidepooling are the main activities here if you don’t count picnicking in the park above.</t>
  </si>
  <si>
    <t>Rockpile Beach &amp; Tide Pools is the southern beach of Heisler Park in Laguna Beach, California. Rockpile Beach is in a south-facing cove with rocky outcroppings.</t>
  </si>
  <si>
    <t>Laguna - Shaw's Cove Beach &amp; Tide Pools</t>
  </si>
  <si>
    <t>Though nearby Diver’s Cove Beach &amp; Tide Pools has the strongest name association with SCUBA diving and snorkeling, Shaw’s Cove Beach is where anyone in the know goes for underwater exploration. The swim-throughs and crevasses below the surface are second-to-none and the kelp beds are absolutely aglow with fish. Bright orange garibaldi and nocturnal spiny lobster are particularly abundant here, and easily viewable. </t>
  </si>
  <si>
    <t>Shaw’s Cove Beach &amp; Tide Pools is where anyone in the know goes for underwater exploration. The swim-throughs and crevasses below the surface are amazing.</t>
  </si>
  <si>
    <t>Laguna - 1000 Steps Beach &amp; Tide Pools</t>
  </si>
  <si>
    <t xml:space="preserve">It’s not really a thousand steps (more like 218) beach &amp; Tide pools, but you’ll feel every one of those when you’re lugging your stuff back up to Pacific Coast Highway. This stunning beach – bordered to the north and south by sandstone cliffs that jut into the water – isn’t for the faint of heart. But for those intrepid few who do brave the steep steps (found just north of 9th Street with metered street parking nearby), the reward is immense. This beach is one of Laguna’s classic shore break spots, where the summer waves smash right on the sand. This makes it beloved by body surfers and skim boarders alike. If the swell is up, use caution and ask lifeguards about where there might be submerged rocks. </t>
  </si>
  <si>
    <t xml:space="preserve">1000 steps beach &amp; tide pools is stunning and on the border to the north and south by sandstone cliffs that jut into the water – isn’t for the faint of heart. </t>
  </si>
  <si>
    <t>Laguna - Treasure Island Beach &amp; Tide Pools</t>
  </si>
  <si>
    <t xml:space="preserve">Its name may evoke filthy pirates and hard-to-find riches, but Treasure Island Beach &amp; Tide Pools is impeccably clean and incredibly accessible. The beach is managed in a partnership between the city and Montage Resort. The result is pristine sand and excellent facilities. Toward the southern end of Treasure Island Beach Park, which sits atop the bluffs, you’ll find a ramp that leads down to the sand. This beach is a long one—stretching all the way to Aliso Creek in the south. </t>
  </si>
  <si>
    <t xml:space="preserve">Treasure Island Beach &amp; Tide Pools is impeccably clean and incredibly accessible. The beach is managed in a partnership between the city and Montage Resort. </t>
  </si>
  <si>
    <t>Laguna - Woods Cove Beach &amp; Tide Pools</t>
  </si>
  <si>
    <t>Woods Cove Beach &amp; Tide Pools may be small and secluded, but that hasn’t kept it from being wildly popular. In fact, with locals making this beach part of their weekend routines, it can sometimes feel downright crowded. Luckily the community vibes are so strong at this hideaway that you always feel welcome. </t>
  </si>
  <si>
    <t>Woods Cove Beach &amp; Tide Pools may be small and secluded, but is popular. At the north end of the cozy cove, you’ll find the deep tide pools of Cactus Point.</t>
  </si>
  <si>
    <t>Beach &amp; Tide Pools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</si>
</sst>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b/>
      <sz val="13"/>
      <color theme="1"/>
      <name val="Aptos Narrow"/>
      <family val="2"/>
      <scheme val="minor"/>
    </font>
    <font>
      <sz val="13"/>
      <color theme="1"/>
      <name val="Aptos Narrow"/>
      <family val="2"/>
      <scheme val="minor"/>
    </font>
    <font>
      <b/>
      <sz val="10"/>
      <color theme="1"/>
      <name val="Aptos Narrow"/>
      <family val="2"/>
      <scheme val="minor"/>
    </font>
    <font>
      <sz val="12"/>
      <color theme="1"/>
      <name val="Aptos Narrow"/>
      <family val="2"/>
      <scheme val="minor"/>
    </font>
    <font>
      <sz val="8"/>
      <color rgb="FF383A3D"/>
      <name val="Arial"/>
      <family val="2"/>
    </font>
    <font>
      <sz val="8"/>
      <color rgb="FF121214"/>
      <name val="Arial"/>
      <family val="2"/>
    </font>
    <font>
      <sz val="13"/>
      <color rgb="FF202124"/>
      <name val="Aptos Narrow"/>
      <family val="2"/>
      <scheme val="minor"/>
    </font>
    <font>
      <sz val="10"/>
      <color rgb="FF333333"/>
      <name val="Arial"/>
      <family val="2"/>
    </font>
    <font>
      <sz val="9"/>
      <color rgb="FF232323"/>
      <name val="Arial"/>
      <family val="2"/>
    </font>
    <font>
      <sz val="9"/>
      <color theme="1"/>
      <name val="Arial"/>
      <family val="2"/>
    </font>
    <font>
      <sz val="9"/>
      <color rgb="FF383A3D"/>
      <name val="Arial"/>
      <family val="2"/>
    </font>
    <font>
      <sz val="10"/>
      <color rgb="FF444645"/>
      <name val="Arial"/>
      <family val="2"/>
    </font>
    <font>
      <sz val="10"/>
      <color theme="1"/>
      <name val="Arial"/>
      <family val="2"/>
    </font>
  </fonts>
  <fills count="4">
    <fill>
      <patternFill patternType="none"/>
    </fill>
    <fill>
      <patternFill patternType="gray125"/>
    </fill>
    <fill>
      <patternFill patternType="solid">
        <fgColor theme="0"/>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2" fillId="2" borderId="1" xfId="0" applyFont="1" applyFill="1" applyBorder="1"/>
    <xf numFmtId="0" fontId="2" fillId="2" borderId="1" xfId="0" applyFont="1" applyFill="1" applyBorder="1" applyAlignment="1">
      <alignment wrapText="1"/>
    </xf>
    <xf numFmtId="0" fontId="2" fillId="2" borderId="1" xfId="0" applyFont="1" applyFill="1" applyBorder="1" applyAlignment="1">
      <alignment horizontal="left" wrapText="1"/>
    </xf>
    <xf numFmtId="0" fontId="2" fillId="2" borderId="1" xfId="0" applyFont="1" applyFill="1" applyBorder="1" applyAlignment="1">
      <alignment horizontal="left"/>
    </xf>
    <xf numFmtId="0" fontId="0" fillId="2" borderId="1" xfId="0" applyFill="1" applyBorder="1"/>
    <xf numFmtId="0" fontId="0" fillId="2" borderId="1" xfId="0" applyFill="1" applyBorder="1" applyAlignment="1">
      <alignment wrapText="1"/>
    </xf>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3" fillId="2" borderId="1" xfId="0" applyFont="1" applyFill="1" applyBorder="1" applyAlignment="1">
      <alignment horizontal="center" wrapText="1"/>
    </xf>
    <xf numFmtId="0" fontId="0" fillId="2" borderId="0" xfId="0" applyFill="1"/>
    <xf numFmtId="0" fontId="5" fillId="2" borderId="1" xfId="0" applyFont="1" applyFill="1" applyBorder="1" applyAlignment="1">
      <alignment wrapText="1"/>
    </xf>
    <xf numFmtId="0" fontId="4" fillId="2" borderId="1" xfId="0" applyFont="1" applyFill="1" applyBorder="1"/>
    <xf numFmtId="0" fontId="7" fillId="2" borderId="1" xfId="0" applyFont="1" applyFill="1" applyBorder="1"/>
    <xf numFmtId="0" fontId="7" fillId="2" borderId="1" xfId="0" applyFont="1" applyFill="1" applyBorder="1" applyAlignment="1">
      <alignment wrapText="1"/>
    </xf>
    <xf numFmtId="0" fontId="11" fillId="2" borderId="1" xfId="0" applyFont="1" applyFill="1" applyBorder="1" applyAlignment="1">
      <alignment wrapText="1"/>
    </xf>
    <xf numFmtId="0" fontId="9" fillId="2" borderId="1" xfId="0" applyFont="1" applyFill="1" applyBorder="1" applyAlignment="1">
      <alignment wrapText="1"/>
    </xf>
    <xf numFmtId="0" fontId="8" fillId="2" borderId="1" xfId="0" applyFont="1" applyFill="1" applyBorder="1" applyAlignment="1">
      <alignment horizontal="left" vertical="center" wrapText="1"/>
    </xf>
    <xf numFmtId="0" fontId="1" fillId="3" borderId="1" xfId="0" applyFont="1" applyFill="1" applyBorder="1" applyAlignment="1">
      <alignment horizontal="center"/>
    </xf>
    <xf numFmtId="14" fontId="2" fillId="3" borderId="1" xfId="0" applyNumberFormat="1" applyFont="1" applyFill="1" applyBorder="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californiabeaches.com/beach/dana-point-headlands-bea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A3E44-3605-449C-AE11-8D4FB01A0BBE}">
  <dimension ref="A1:Q52"/>
  <sheetViews>
    <sheetView tabSelected="1" topLeftCell="D1" zoomScale="80" zoomScaleNormal="80" workbookViewId="0">
      <selection activeCell="J5" sqref="J5"/>
    </sheetView>
  </sheetViews>
  <sheetFormatPr defaultRowHeight="14.5" x14ac:dyDescent="0.35"/>
  <cols>
    <col min="1" max="1" width="40.6328125" style="10" customWidth="1"/>
    <col min="2" max="2" width="30.6328125" style="10" customWidth="1"/>
    <col min="3" max="3" width="37.81640625" style="10" customWidth="1"/>
    <col min="4" max="4" width="31" style="10" customWidth="1"/>
    <col min="5" max="5" width="6.7265625" style="10" customWidth="1"/>
    <col min="6" max="6" width="23.90625" style="10" customWidth="1"/>
    <col min="7" max="7" width="11.90625" style="10" customWidth="1"/>
    <col min="8" max="8" width="38.453125" style="10" customWidth="1"/>
    <col min="9" max="9" width="26" style="10" customWidth="1"/>
    <col min="10" max="10" width="40.6328125" style="10" customWidth="1"/>
    <col min="11" max="11" width="11.81640625" style="20" customWidth="1"/>
    <col min="12" max="12" width="11.26953125" style="20" customWidth="1"/>
    <col min="13" max="13" width="23" style="10" customWidth="1"/>
    <col min="14" max="14" width="19.26953125" style="10" customWidth="1"/>
    <col min="15" max="15" width="25.6328125" style="10" customWidth="1"/>
    <col min="16" max="16" width="22.453125" style="10" customWidth="1"/>
    <col min="17" max="17" width="19.81640625" style="10" customWidth="1"/>
    <col min="18" max="18" width="22.1796875" style="10" customWidth="1"/>
    <col min="19" max="16384" width="8.7265625" style="10"/>
  </cols>
  <sheetData>
    <row r="1" spans="1:17" ht="34" x14ac:dyDescent="0.4">
      <c r="A1" s="7" t="s">
        <v>0</v>
      </c>
      <c r="B1" s="7" t="s">
        <v>12</v>
      </c>
      <c r="C1" s="7" t="s">
        <v>13</v>
      </c>
      <c r="D1" s="8" t="s">
        <v>14</v>
      </c>
      <c r="E1" s="9" t="s">
        <v>15</v>
      </c>
      <c r="F1" s="7" t="s">
        <v>1</v>
      </c>
      <c r="G1" s="7" t="s">
        <v>2</v>
      </c>
      <c r="H1" s="7" t="s">
        <v>3</v>
      </c>
      <c r="I1" s="8" t="s">
        <v>10</v>
      </c>
      <c r="J1" s="7" t="s">
        <v>4</v>
      </c>
      <c r="K1" s="18" t="s">
        <v>5</v>
      </c>
      <c r="L1" s="18" t="s">
        <v>6</v>
      </c>
      <c r="M1" s="7" t="s">
        <v>7</v>
      </c>
      <c r="N1" s="7" t="s">
        <v>8</v>
      </c>
      <c r="O1" s="7" t="s">
        <v>9</v>
      </c>
      <c r="P1" s="8" t="s">
        <v>16</v>
      </c>
      <c r="Q1" s="7" t="s">
        <v>8</v>
      </c>
    </row>
    <row r="2" spans="1:17" ht="72" x14ac:dyDescent="0.4">
      <c r="A2" s="1" t="s">
        <v>39</v>
      </c>
      <c r="B2" s="2" t="s">
        <v>40</v>
      </c>
      <c r="C2" s="11" t="s">
        <v>108</v>
      </c>
      <c r="D2" s="11" t="s">
        <v>109</v>
      </c>
      <c r="E2" s="2">
        <f t="shared" ref="E2:E33" si="0">LEN(D2)</f>
        <v>152</v>
      </c>
      <c r="F2" s="12" t="s">
        <v>104</v>
      </c>
      <c r="G2" s="1">
        <v>92629</v>
      </c>
      <c r="H2" s="13" t="s">
        <v>106</v>
      </c>
      <c r="I2" s="1" t="s">
        <v>110</v>
      </c>
      <c r="J2" s="2" t="s">
        <v>107</v>
      </c>
      <c r="K2" s="19">
        <v>45292</v>
      </c>
      <c r="L2" s="19">
        <v>410534</v>
      </c>
      <c r="M2" s="2" t="s">
        <v>105</v>
      </c>
      <c r="N2" s="2" t="s">
        <v>17</v>
      </c>
      <c r="O2" s="1" t="str">
        <f t="shared" ref="O2:O33" si="1">I2</f>
        <v>DP - Baby beach</v>
      </c>
      <c r="P2" s="1" t="s">
        <v>11</v>
      </c>
      <c r="Q2" s="1" t="str">
        <f t="shared" ref="Q2:Q33" si="2">N2</f>
        <v>Beaches</v>
      </c>
    </row>
    <row r="3" spans="1:17" ht="62" x14ac:dyDescent="0.4">
      <c r="A3" s="1" t="s">
        <v>41</v>
      </c>
      <c r="B3" s="2" t="s">
        <v>42</v>
      </c>
      <c r="C3" s="11" t="s">
        <v>114</v>
      </c>
      <c r="D3" s="11" t="s">
        <v>115</v>
      </c>
      <c r="E3" s="2">
        <f t="shared" si="0"/>
        <v>155</v>
      </c>
      <c r="F3" s="12" t="s">
        <v>104</v>
      </c>
      <c r="G3" s="1">
        <v>92629</v>
      </c>
      <c r="H3" s="14" t="s">
        <v>112</v>
      </c>
      <c r="I3" s="1" t="s">
        <v>113</v>
      </c>
      <c r="J3" s="1" t="s">
        <v>111</v>
      </c>
      <c r="K3" s="19">
        <v>45292</v>
      </c>
      <c r="L3" s="19">
        <v>410534</v>
      </c>
      <c r="M3" s="2" t="s">
        <v>105</v>
      </c>
      <c r="N3" s="2" t="s">
        <v>17</v>
      </c>
      <c r="O3" s="1" t="str">
        <f t="shared" si="1"/>
        <v>DP - Doheny</v>
      </c>
      <c r="P3" s="1" t="s">
        <v>11</v>
      </c>
      <c r="Q3" s="1" t="str">
        <f t="shared" si="2"/>
        <v>Beaches</v>
      </c>
    </row>
    <row r="4" spans="1:17" ht="62" x14ac:dyDescent="0.4">
      <c r="A4" s="1" t="s">
        <v>28</v>
      </c>
      <c r="B4" s="1" t="s">
        <v>36</v>
      </c>
      <c r="C4" s="11" t="s">
        <v>119</v>
      </c>
      <c r="D4" s="11" t="s">
        <v>120</v>
      </c>
      <c r="E4" s="2">
        <f t="shared" si="0"/>
        <v>160</v>
      </c>
      <c r="F4" s="5" t="s">
        <v>104</v>
      </c>
      <c r="G4" s="1">
        <v>92629</v>
      </c>
      <c r="H4" s="14" t="s">
        <v>116</v>
      </c>
      <c r="I4" s="1" t="s">
        <v>118</v>
      </c>
      <c r="J4" s="6" t="s">
        <v>117</v>
      </c>
      <c r="K4" s="19">
        <v>45292</v>
      </c>
      <c r="L4" s="19">
        <v>410534</v>
      </c>
      <c r="M4" s="2" t="s">
        <v>105</v>
      </c>
      <c r="N4" s="2" t="s">
        <v>17</v>
      </c>
      <c r="O4" s="1" t="str">
        <f t="shared" si="1"/>
        <v>DP - Headlands</v>
      </c>
      <c r="P4" s="1" t="s">
        <v>11</v>
      </c>
      <c r="Q4" s="1" t="str">
        <f t="shared" si="2"/>
        <v>Beaches</v>
      </c>
    </row>
    <row r="5" spans="1:17" ht="62" x14ac:dyDescent="0.4">
      <c r="A5" s="1" t="s">
        <v>31</v>
      </c>
      <c r="B5" s="2" t="s">
        <v>38</v>
      </c>
      <c r="C5" s="11" t="s">
        <v>124</v>
      </c>
      <c r="D5" s="11" t="s">
        <v>125</v>
      </c>
      <c r="E5" s="2">
        <f t="shared" si="0"/>
        <v>122</v>
      </c>
      <c r="F5" s="5" t="s">
        <v>104</v>
      </c>
      <c r="G5" s="1">
        <v>92629</v>
      </c>
      <c r="H5" s="14" t="s">
        <v>121</v>
      </c>
      <c r="I5" s="1" t="s">
        <v>122</v>
      </c>
      <c r="J5" s="6" t="s">
        <v>123</v>
      </c>
      <c r="K5" s="19">
        <v>45292</v>
      </c>
      <c r="L5" s="19">
        <v>410534</v>
      </c>
      <c r="M5" s="2" t="s">
        <v>105</v>
      </c>
      <c r="N5" s="2" t="s">
        <v>17</v>
      </c>
      <c r="O5" s="1" t="str">
        <f t="shared" si="1"/>
        <v>DP - Monarch</v>
      </c>
      <c r="P5" s="1" t="s">
        <v>11</v>
      </c>
      <c r="Q5" s="1" t="str">
        <f t="shared" si="2"/>
        <v>Beaches</v>
      </c>
    </row>
    <row r="6" spans="1:17" ht="82" x14ac:dyDescent="0.4">
      <c r="A6" s="1" t="s">
        <v>21</v>
      </c>
      <c r="B6" s="2" t="s">
        <v>22</v>
      </c>
      <c r="C6" s="11" t="s">
        <v>129</v>
      </c>
      <c r="D6" s="11" t="s">
        <v>130</v>
      </c>
      <c r="E6" s="2">
        <f t="shared" si="0"/>
        <v>149</v>
      </c>
      <c r="F6" s="5" t="s">
        <v>104</v>
      </c>
      <c r="G6" s="1">
        <v>92629</v>
      </c>
      <c r="H6" s="14" t="s">
        <v>126</v>
      </c>
      <c r="I6" s="1" t="s">
        <v>127</v>
      </c>
      <c r="J6" s="6" t="s">
        <v>128</v>
      </c>
      <c r="K6" s="19">
        <v>45292</v>
      </c>
      <c r="L6" s="19">
        <v>410534</v>
      </c>
      <c r="M6" s="2" t="s">
        <v>105</v>
      </c>
      <c r="N6" s="2" t="s">
        <v>17</v>
      </c>
      <c r="O6" s="1" t="str">
        <f t="shared" si="1"/>
        <v>DP - Pirate</v>
      </c>
      <c r="P6" s="1" t="s">
        <v>11</v>
      </c>
      <c r="Q6" s="1" t="str">
        <f t="shared" si="2"/>
        <v>Beaches</v>
      </c>
    </row>
    <row r="7" spans="1:17" ht="52" x14ac:dyDescent="0.4">
      <c r="A7" s="1" t="s">
        <v>24</v>
      </c>
      <c r="B7" s="1" t="s">
        <v>34</v>
      </c>
      <c r="C7" s="11" t="s">
        <v>134</v>
      </c>
      <c r="D7" s="11" t="s">
        <v>135</v>
      </c>
      <c r="E7" s="2">
        <f t="shared" si="0"/>
        <v>141</v>
      </c>
      <c r="F7" s="5" t="s">
        <v>104</v>
      </c>
      <c r="G7" s="1">
        <v>92629</v>
      </c>
      <c r="H7" s="14" t="s">
        <v>131</v>
      </c>
      <c r="I7" s="1" t="s">
        <v>132</v>
      </c>
      <c r="J7" s="6" t="s">
        <v>133</v>
      </c>
      <c r="K7" s="19">
        <v>45292</v>
      </c>
      <c r="L7" s="19">
        <v>410534</v>
      </c>
      <c r="M7" s="2" t="s">
        <v>105</v>
      </c>
      <c r="N7" s="2" t="s">
        <v>17</v>
      </c>
      <c r="O7" s="1" t="str">
        <f t="shared" si="1"/>
        <v>DP - Salt</v>
      </c>
      <c r="P7" s="1" t="s">
        <v>11</v>
      </c>
      <c r="Q7" s="1" t="str">
        <f t="shared" si="2"/>
        <v>Beaches</v>
      </c>
    </row>
    <row r="8" spans="1:17" ht="62" x14ac:dyDescent="0.4">
      <c r="A8" s="1" t="s">
        <v>19</v>
      </c>
      <c r="B8" s="2" t="s">
        <v>140</v>
      </c>
      <c r="C8" s="11" t="s">
        <v>137</v>
      </c>
      <c r="D8" s="11" t="s">
        <v>139</v>
      </c>
      <c r="E8" s="2">
        <f t="shared" si="0"/>
        <v>114</v>
      </c>
      <c r="F8" s="5" t="s">
        <v>104</v>
      </c>
      <c r="G8" s="1">
        <v>92629</v>
      </c>
      <c r="H8" s="14" t="s">
        <v>138</v>
      </c>
      <c r="I8" s="1" t="s">
        <v>141</v>
      </c>
      <c r="J8" s="6" t="s">
        <v>136</v>
      </c>
      <c r="K8" s="19">
        <v>45292</v>
      </c>
      <c r="L8" s="19">
        <v>410534</v>
      </c>
      <c r="M8" s="2" t="s">
        <v>105</v>
      </c>
      <c r="N8" s="2" t="s">
        <v>17</v>
      </c>
      <c r="O8" s="1" t="str">
        <f t="shared" si="1"/>
        <v>DP - Strand</v>
      </c>
      <c r="P8" s="1" t="s">
        <v>11</v>
      </c>
      <c r="Q8" s="1" t="str">
        <f t="shared" si="2"/>
        <v>Beaches</v>
      </c>
    </row>
    <row r="9" spans="1:17" ht="122" x14ac:dyDescent="0.4">
      <c r="A9" s="1" t="s">
        <v>43</v>
      </c>
      <c r="B9" s="2" t="s">
        <v>58</v>
      </c>
      <c r="C9" s="11" t="s">
        <v>144</v>
      </c>
      <c r="D9" s="11" t="s">
        <v>145</v>
      </c>
      <c r="E9" s="2">
        <f t="shared" si="0"/>
        <v>153</v>
      </c>
      <c r="F9" s="5" t="s">
        <v>104</v>
      </c>
      <c r="G9" s="1">
        <v>92649</v>
      </c>
      <c r="H9" s="14" t="s">
        <v>146</v>
      </c>
      <c r="I9" s="1" t="s">
        <v>143</v>
      </c>
      <c r="J9" s="6" t="s">
        <v>142</v>
      </c>
      <c r="K9" s="19">
        <v>45292</v>
      </c>
      <c r="L9" s="19">
        <v>410534</v>
      </c>
      <c r="M9" s="2" t="s">
        <v>105</v>
      </c>
      <c r="N9" s="2" t="s">
        <v>17</v>
      </c>
      <c r="O9" s="1" t="str">
        <f t="shared" si="1"/>
        <v>HB - Bolsa</v>
      </c>
      <c r="P9" s="1" t="s">
        <v>11</v>
      </c>
      <c r="Q9" s="1" t="str">
        <f t="shared" si="2"/>
        <v>Beaches</v>
      </c>
    </row>
    <row r="10" spans="1:17" ht="162.5" x14ac:dyDescent="0.4">
      <c r="A10" s="1" t="s">
        <v>18</v>
      </c>
      <c r="B10" s="1" t="s">
        <v>103</v>
      </c>
      <c r="C10" s="15" t="s">
        <v>164</v>
      </c>
      <c r="D10" s="15" t="s">
        <v>165</v>
      </c>
      <c r="E10" s="2">
        <f t="shared" si="0"/>
        <v>124</v>
      </c>
      <c r="F10" s="5" t="s">
        <v>104</v>
      </c>
      <c r="G10" s="1">
        <v>92648</v>
      </c>
      <c r="H10" s="14" t="s">
        <v>166</v>
      </c>
      <c r="I10" s="1" t="s">
        <v>163</v>
      </c>
      <c r="J10" s="6" t="s">
        <v>162</v>
      </c>
      <c r="K10" s="19">
        <v>45292</v>
      </c>
      <c r="L10" s="19">
        <v>410534</v>
      </c>
      <c r="M10" s="2" t="s">
        <v>105</v>
      </c>
      <c r="N10" s="2" t="s">
        <v>17</v>
      </c>
      <c r="O10" s="1" t="str">
        <f t="shared" si="1"/>
        <v>HB - City</v>
      </c>
      <c r="P10" s="1" t="s">
        <v>11</v>
      </c>
      <c r="Q10" s="1" t="str">
        <f t="shared" si="2"/>
        <v>Beaches</v>
      </c>
    </row>
    <row r="11" spans="1:17" ht="128" x14ac:dyDescent="0.4">
      <c r="A11" s="1" t="s">
        <v>29</v>
      </c>
      <c r="B11" s="1" t="s">
        <v>37</v>
      </c>
      <c r="C11" s="15" t="s">
        <v>150</v>
      </c>
      <c r="D11" s="16" t="s">
        <v>151</v>
      </c>
      <c r="E11" s="2">
        <f t="shared" si="0"/>
        <v>160</v>
      </c>
      <c r="F11" s="5" t="s">
        <v>104</v>
      </c>
      <c r="G11" s="1">
        <v>92648</v>
      </c>
      <c r="H11" s="14" t="s">
        <v>148</v>
      </c>
      <c r="I11" s="1" t="s">
        <v>149</v>
      </c>
      <c r="J11" s="6" t="s">
        <v>147</v>
      </c>
      <c r="K11" s="19">
        <v>45292</v>
      </c>
      <c r="L11" s="19">
        <v>410534</v>
      </c>
      <c r="M11" s="2" t="s">
        <v>105</v>
      </c>
      <c r="N11" s="2" t="s">
        <v>17</v>
      </c>
      <c r="O11" s="1" t="str">
        <f t="shared" si="1"/>
        <v>HB - Dog</v>
      </c>
      <c r="P11" s="1" t="s">
        <v>11</v>
      </c>
      <c r="Q11" s="1" t="str">
        <f t="shared" si="2"/>
        <v>Beaches</v>
      </c>
    </row>
    <row r="12" spans="1:17" ht="151" x14ac:dyDescent="0.4">
      <c r="A12" s="1" t="s">
        <v>44</v>
      </c>
      <c r="B12" s="2" t="s">
        <v>45</v>
      </c>
      <c r="C12" s="15" t="s">
        <v>155</v>
      </c>
      <c r="D12" s="15" t="s">
        <v>156</v>
      </c>
      <c r="E12" s="2">
        <f t="shared" si="0"/>
        <v>111</v>
      </c>
      <c r="F12" s="5" t="s">
        <v>104</v>
      </c>
      <c r="G12" s="1">
        <v>92646</v>
      </c>
      <c r="H12" s="14" t="s">
        <v>152</v>
      </c>
      <c r="I12" s="1" t="s">
        <v>153</v>
      </c>
      <c r="J12" s="6" t="s">
        <v>154</v>
      </c>
      <c r="K12" s="19">
        <v>45292</v>
      </c>
      <c r="L12" s="19">
        <v>410534</v>
      </c>
      <c r="M12" s="2" t="s">
        <v>105</v>
      </c>
      <c r="N12" s="2" t="s">
        <v>17</v>
      </c>
      <c r="O12" s="1" t="str">
        <f t="shared" si="1"/>
        <v>HB - JG</v>
      </c>
      <c r="P12" s="1" t="s">
        <v>11</v>
      </c>
      <c r="Q12" s="1" t="str">
        <f t="shared" si="2"/>
        <v>Beaches</v>
      </c>
    </row>
    <row r="13" spans="1:17" ht="153.5" x14ac:dyDescent="0.4">
      <c r="A13" s="1" t="s">
        <v>18</v>
      </c>
      <c r="B13" s="1" t="s">
        <v>102</v>
      </c>
      <c r="C13" s="15" t="s">
        <v>170</v>
      </c>
      <c r="D13" s="15" t="s">
        <v>171</v>
      </c>
      <c r="E13" s="2">
        <f t="shared" si="0"/>
        <v>100</v>
      </c>
      <c r="F13" s="5" t="s">
        <v>104</v>
      </c>
      <c r="G13" s="1">
        <v>92646</v>
      </c>
      <c r="H13" s="14" t="s">
        <v>167</v>
      </c>
      <c r="I13" s="1" t="s">
        <v>168</v>
      </c>
      <c r="J13" s="6" t="s">
        <v>169</v>
      </c>
      <c r="K13" s="19">
        <v>45292</v>
      </c>
      <c r="L13" s="19">
        <v>410534</v>
      </c>
      <c r="M13" s="2" t="s">
        <v>105</v>
      </c>
      <c r="N13" s="2" t="s">
        <v>17</v>
      </c>
      <c r="O13" s="1" t="str">
        <f t="shared" si="1"/>
        <v>HB - State</v>
      </c>
      <c r="P13" s="1" t="s">
        <v>11</v>
      </c>
      <c r="Q13" s="1" t="str">
        <f t="shared" si="2"/>
        <v>Beaches</v>
      </c>
    </row>
    <row r="14" spans="1:17" ht="128" x14ac:dyDescent="0.4">
      <c r="A14" s="1" t="s">
        <v>47</v>
      </c>
      <c r="B14" s="1" t="s">
        <v>46</v>
      </c>
      <c r="C14" s="15" t="s">
        <v>159</v>
      </c>
      <c r="D14" s="15" t="s">
        <v>160</v>
      </c>
      <c r="E14" s="2">
        <f t="shared" si="0"/>
        <v>158</v>
      </c>
      <c r="F14" s="5" t="s">
        <v>104</v>
      </c>
      <c r="G14" s="1">
        <v>92646</v>
      </c>
      <c r="H14" s="14" t="s">
        <v>161</v>
      </c>
      <c r="I14" s="1" t="s">
        <v>158</v>
      </c>
      <c r="J14" s="6" t="s">
        <v>157</v>
      </c>
      <c r="K14" s="19">
        <v>45292</v>
      </c>
      <c r="L14" s="19">
        <v>410534</v>
      </c>
      <c r="M14" s="2" t="s">
        <v>105</v>
      </c>
      <c r="N14" s="2" t="s">
        <v>17</v>
      </c>
      <c r="O14" s="1" t="str">
        <f t="shared" si="1"/>
        <v>HB - Sunset</v>
      </c>
      <c r="P14" s="1" t="s">
        <v>11</v>
      </c>
      <c r="Q14" s="1" t="str">
        <f t="shared" si="2"/>
        <v>Beaches</v>
      </c>
    </row>
    <row r="15" spans="1:17" ht="173.5" customHeight="1" x14ac:dyDescent="0.4">
      <c r="A15" s="1" t="s">
        <v>98</v>
      </c>
      <c r="B15" s="2" t="s">
        <v>353</v>
      </c>
      <c r="C15" s="15" t="s">
        <v>354</v>
      </c>
      <c r="D15" s="15" t="s">
        <v>355</v>
      </c>
      <c r="E15" s="2">
        <f t="shared" si="0"/>
        <v>159</v>
      </c>
      <c r="F15" s="5" t="s">
        <v>342</v>
      </c>
      <c r="G15" s="1">
        <v>92651</v>
      </c>
      <c r="H15" s="14" t="s">
        <v>172</v>
      </c>
      <c r="I15" s="1" t="s">
        <v>173</v>
      </c>
      <c r="J15" s="6" t="s">
        <v>174</v>
      </c>
      <c r="K15" s="19">
        <v>45292</v>
      </c>
      <c r="L15" s="19">
        <v>410534</v>
      </c>
      <c r="M15" s="2" t="s">
        <v>105</v>
      </c>
      <c r="N15" s="2" t="s">
        <v>17</v>
      </c>
      <c r="O15" s="1" t="str">
        <f t="shared" si="1"/>
        <v>Laguna - 1000</v>
      </c>
      <c r="P15" s="1" t="s">
        <v>11</v>
      </c>
      <c r="Q15" s="1" t="str">
        <f t="shared" si="2"/>
        <v>Beaches</v>
      </c>
    </row>
    <row r="16" spans="1:17" ht="208.5" x14ac:dyDescent="0.4">
      <c r="A16" s="1" t="s">
        <v>50</v>
      </c>
      <c r="B16" s="2" t="s">
        <v>48</v>
      </c>
      <c r="C16" s="15" t="s">
        <v>177</v>
      </c>
      <c r="D16" s="15" t="s">
        <v>178</v>
      </c>
      <c r="E16" s="2">
        <f t="shared" si="0"/>
        <v>114</v>
      </c>
      <c r="F16" s="1" t="s">
        <v>104</v>
      </c>
      <c r="G16" s="14">
        <v>92651</v>
      </c>
      <c r="H16" s="1" t="s">
        <v>179</v>
      </c>
      <c r="I16" s="1" t="s">
        <v>176</v>
      </c>
      <c r="J16" s="6" t="s">
        <v>175</v>
      </c>
      <c r="K16" s="19">
        <v>45292</v>
      </c>
      <c r="L16" s="19">
        <v>410534</v>
      </c>
      <c r="M16" s="2" t="s">
        <v>105</v>
      </c>
      <c r="N16" s="2" t="s">
        <v>17</v>
      </c>
      <c r="O16" s="1" t="str">
        <f t="shared" si="1"/>
        <v>Laguna - Agate</v>
      </c>
      <c r="P16" s="1" t="s">
        <v>11</v>
      </c>
      <c r="Q16" s="1" t="str">
        <f t="shared" si="2"/>
        <v>Beaches</v>
      </c>
    </row>
    <row r="17" spans="1:17" ht="105" x14ac:dyDescent="0.4">
      <c r="A17" s="1" t="s">
        <v>100</v>
      </c>
      <c r="B17" s="2" t="s">
        <v>99</v>
      </c>
      <c r="C17" s="15" t="s">
        <v>182</v>
      </c>
      <c r="D17" s="15" t="s">
        <v>183</v>
      </c>
      <c r="E17" s="2">
        <f t="shared" si="0"/>
        <v>153</v>
      </c>
      <c r="F17" s="5" t="s">
        <v>104</v>
      </c>
      <c r="G17" s="14">
        <v>92651</v>
      </c>
      <c r="H17" s="1" t="s">
        <v>290</v>
      </c>
      <c r="I17" s="1" t="s">
        <v>181</v>
      </c>
      <c r="J17" s="6" t="s">
        <v>180</v>
      </c>
      <c r="K17" s="19">
        <v>45292</v>
      </c>
      <c r="L17" s="19">
        <v>410534</v>
      </c>
      <c r="M17" s="2" t="s">
        <v>105</v>
      </c>
      <c r="N17" s="2" t="s">
        <v>17</v>
      </c>
      <c r="O17" s="1" t="str">
        <f t="shared" si="1"/>
        <v>Laguna - Aliso</v>
      </c>
      <c r="P17" s="1" t="s">
        <v>11</v>
      </c>
      <c r="Q17" s="1" t="str">
        <f t="shared" si="2"/>
        <v>Beaches</v>
      </c>
    </row>
    <row r="18" spans="1:17" ht="150" x14ac:dyDescent="0.4">
      <c r="A18" s="1" t="s">
        <v>49</v>
      </c>
      <c r="B18" s="2" t="s">
        <v>51</v>
      </c>
      <c r="C18" s="17" t="s">
        <v>187</v>
      </c>
      <c r="D18" s="17" t="s">
        <v>188</v>
      </c>
      <c r="E18" s="2">
        <f t="shared" si="0"/>
        <v>156</v>
      </c>
      <c r="F18" s="5" t="s">
        <v>104</v>
      </c>
      <c r="G18" s="14">
        <v>92651</v>
      </c>
      <c r="H18" s="1" t="s">
        <v>186</v>
      </c>
      <c r="I18" s="1" t="s">
        <v>185</v>
      </c>
      <c r="J18" s="6" t="s">
        <v>184</v>
      </c>
      <c r="K18" s="19">
        <v>45292</v>
      </c>
      <c r="L18" s="19">
        <v>410534</v>
      </c>
      <c r="M18" s="2" t="s">
        <v>105</v>
      </c>
      <c r="N18" s="2" t="s">
        <v>17</v>
      </c>
      <c r="O18" s="1" t="str">
        <f t="shared" si="1"/>
        <v>Laguna - Anita</v>
      </c>
      <c r="P18" s="1" t="s">
        <v>11</v>
      </c>
      <c r="Q18" s="1" t="str">
        <f t="shared" si="2"/>
        <v>Beaches</v>
      </c>
    </row>
    <row r="19" spans="1:17" ht="150" x14ac:dyDescent="0.4">
      <c r="A19" s="1" t="s">
        <v>27</v>
      </c>
      <c r="B19" s="2" t="s">
        <v>59</v>
      </c>
      <c r="C19" s="17" t="s">
        <v>191</v>
      </c>
      <c r="D19" s="17" t="s">
        <v>192</v>
      </c>
      <c r="E19" s="2">
        <f t="shared" si="0"/>
        <v>153</v>
      </c>
      <c r="F19" s="5" t="s">
        <v>104</v>
      </c>
      <c r="G19" s="14">
        <v>92651</v>
      </c>
      <c r="H19" s="1" t="s">
        <v>193</v>
      </c>
      <c r="I19" s="1" t="s">
        <v>190</v>
      </c>
      <c r="J19" s="6" t="s">
        <v>189</v>
      </c>
      <c r="K19" s="19">
        <v>45292</v>
      </c>
      <c r="L19" s="19">
        <v>410534</v>
      </c>
      <c r="M19" s="2" t="s">
        <v>105</v>
      </c>
      <c r="N19" s="2" t="s">
        <v>17</v>
      </c>
      <c r="O19" s="1" t="str">
        <f t="shared" si="1"/>
        <v>Laguna - Bluebird</v>
      </c>
      <c r="P19" s="1" t="s">
        <v>11</v>
      </c>
      <c r="Q19" s="1" t="str">
        <f t="shared" si="2"/>
        <v>Beaches</v>
      </c>
    </row>
    <row r="20" spans="1:17" ht="112.5" x14ac:dyDescent="0.4">
      <c r="A20" s="1" t="s">
        <v>52</v>
      </c>
      <c r="B20" s="2" t="s">
        <v>53</v>
      </c>
      <c r="C20" s="17" t="s">
        <v>196</v>
      </c>
      <c r="D20" s="17" t="s">
        <v>197</v>
      </c>
      <c r="E20" s="2">
        <f t="shared" si="0"/>
        <v>159</v>
      </c>
      <c r="F20" s="5" t="s">
        <v>104</v>
      </c>
      <c r="G20" s="14">
        <v>92651</v>
      </c>
      <c r="H20" s="1" t="s">
        <v>198</v>
      </c>
      <c r="I20" s="1" t="s">
        <v>195</v>
      </c>
      <c r="J20" s="6" t="s">
        <v>194</v>
      </c>
      <c r="K20" s="19">
        <v>45292</v>
      </c>
      <c r="L20" s="19">
        <v>410534</v>
      </c>
      <c r="M20" s="2" t="s">
        <v>105</v>
      </c>
      <c r="N20" s="2" t="s">
        <v>17</v>
      </c>
      <c r="O20" s="1" t="str">
        <f t="shared" si="1"/>
        <v>Laguna - Brooks</v>
      </c>
      <c r="P20" s="1" t="s">
        <v>11</v>
      </c>
      <c r="Q20" s="1" t="str">
        <f t="shared" si="2"/>
        <v>Beaches</v>
      </c>
    </row>
    <row r="21" spans="1:17" ht="112.5" x14ac:dyDescent="0.4">
      <c r="A21" s="1" t="s">
        <v>54</v>
      </c>
      <c r="B21" s="2" t="s">
        <v>55</v>
      </c>
      <c r="C21" s="17" t="s">
        <v>201</v>
      </c>
      <c r="D21" s="17" t="s">
        <v>202</v>
      </c>
      <c r="E21" s="2">
        <f t="shared" si="0"/>
        <v>109</v>
      </c>
      <c r="F21" s="5" t="s">
        <v>104</v>
      </c>
      <c r="G21" s="14">
        <v>92651</v>
      </c>
      <c r="H21" s="1" t="s">
        <v>289</v>
      </c>
      <c r="I21" s="1" t="s">
        <v>200</v>
      </c>
      <c r="J21" s="6" t="s">
        <v>199</v>
      </c>
      <c r="K21" s="19">
        <v>45292</v>
      </c>
      <c r="L21" s="19">
        <v>410534</v>
      </c>
      <c r="M21" s="2" t="s">
        <v>105</v>
      </c>
      <c r="N21" s="2" t="s">
        <v>17</v>
      </c>
      <c r="O21" s="1" t="str">
        <f t="shared" si="1"/>
        <v>Laguna - Christmas</v>
      </c>
      <c r="P21" s="1" t="s">
        <v>11</v>
      </c>
      <c r="Q21" s="1" t="str">
        <f t="shared" si="2"/>
        <v>Beaches</v>
      </c>
    </row>
    <row r="22" spans="1:17" ht="100" x14ac:dyDescent="0.4">
      <c r="A22" s="1" t="s">
        <v>56</v>
      </c>
      <c r="B22" s="2" t="s">
        <v>57</v>
      </c>
      <c r="C22" s="17" t="s">
        <v>205</v>
      </c>
      <c r="D22" s="17" t="s">
        <v>206</v>
      </c>
      <c r="E22" s="2">
        <f t="shared" si="0"/>
        <v>160</v>
      </c>
      <c r="F22" s="5" t="s">
        <v>104</v>
      </c>
      <c r="G22" s="14">
        <v>92651</v>
      </c>
      <c r="H22" s="1" t="s">
        <v>207</v>
      </c>
      <c r="I22" s="1" t="s">
        <v>204</v>
      </c>
      <c r="J22" s="6" t="s">
        <v>203</v>
      </c>
      <c r="K22" s="19">
        <v>45292</v>
      </c>
      <c r="L22" s="19">
        <v>410534</v>
      </c>
      <c r="M22" s="2" t="s">
        <v>105</v>
      </c>
      <c r="N22" s="2" t="s">
        <v>17</v>
      </c>
      <c r="O22" s="1" t="str">
        <f t="shared" si="1"/>
        <v>Laguna - Cleo</v>
      </c>
      <c r="P22" s="1" t="s">
        <v>11</v>
      </c>
      <c r="Q22" s="1" t="str">
        <f t="shared" si="2"/>
        <v>Beaches</v>
      </c>
    </row>
    <row r="23" spans="1:17" ht="87.5" x14ac:dyDescent="0.4">
      <c r="A23" s="1" t="s">
        <v>25</v>
      </c>
      <c r="B23" s="2" t="s">
        <v>339</v>
      </c>
      <c r="C23" s="17" t="s">
        <v>338</v>
      </c>
      <c r="D23" s="17" t="s">
        <v>337</v>
      </c>
      <c r="E23" s="2">
        <f t="shared" si="0"/>
        <v>151</v>
      </c>
      <c r="F23" s="5" t="s">
        <v>362</v>
      </c>
      <c r="G23" s="14">
        <v>92651</v>
      </c>
      <c r="H23" s="1" t="s">
        <v>208</v>
      </c>
      <c r="I23" s="5" t="s">
        <v>209</v>
      </c>
      <c r="J23" s="6" t="s">
        <v>210</v>
      </c>
      <c r="K23" s="19">
        <v>45292</v>
      </c>
      <c r="L23" s="19">
        <v>410534</v>
      </c>
      <c r="M23" s="2" t="s">
        <v>105</v>
      </c>
      <c r="N23" s="2" t="s">
        <v>17</v>
      </c>
      <c r="O23" s="1" t="str">
        <f t="shared" si="1"/>
        <v>Laguna - Crescent</v>
      </c>
      <c r="P23" s="1" t="s">
        <v>11</v>
      </c>
      <c r="Q23" s="1" t="str">
        <f t="shared" si="2"/>
        <v>Beaches</v>
      </c>
    </row>
    <row r="24" spans="1:17" ht="100" x14ac:dyDescent="0.4">
      <c r="A24" s="1" t="s">
        <v>60</v>
      </c>
      <c r="B24" s="2" t="s">
        <v>61</v>
      </c>
      <c r="C24" s="17" t="s">
        <v>213</v>
      </c>
      <c r="D24" s="17" t="s">
        <v>214</v>
      </c>
      <c r="E24" s="2">
        <f t="shared" si="0"/>
        <v>127</v>
      </c>
      <c r="F24" s="5" t="s">
        <v>104</v>
      </c>
      <c r="G24" s="14">
        <v>92651</v>
      </c>
      <c r="H24" s="1" t="s">
        <v>215</v>
      </c>
      <c r="I24" s="5" t="s">
        <v>212</v>
      </c>
      <c r="J24" s="6" t="s">
        <v>211</v>
      </c>
      <c r="K24" s="19">
        <v>45292</v>
      </c>
      <c r="L24" s="19">
        <v>410534</v>
      </c>
      <c r="M24" s="2" t="s">
        <v>105</v>
      </c>
      <c r="N24" s="2" t="s">
        <v>17</v>
      </c>
      <c r="O24" s="1" t="str">
        <f t="shared" si="1"/>
        <v>Laguna - Cress</v>
      </c>
      <c r="P24" s="1" t="s">
        <v>11</v>
      </c>
      <c r="Q24" s="1" t="str">
        <f t="shared" si="2"/>
        <v>Beaches</v>
      </c>
    </row>
    <row r="25" spans="1:17" ht="112.5" x14ac:dyDescent="0.4">
      <c r="A25" s="1" t="s">
        <v>23</v>
      </c>
      <c r="B25" s="2" t="s">
        <v>33</v>
      </c>
      <c r="C25" s="17" t="s">
        <v>219</v>
      </c>
      <c r="D25" s="17" t="s">
        <v>220</v>
      </c>
      <c r="E25" s="2">
        <f t="shared" si="0"/>
        <v>153</v>
      </c>
      <c r="F25" s="5" t="s">
        <v>104</v>
      </c>
      <c r="G25" s="14">
        <v>92651</v>
      </c>
      <c r="H25" s="2" t="s">
        <v>218</v>
      </c>
      <c r="I25" s="5" t="s">
        <v>217</v>
      </c>
      <c r="J25" s="6" t="s">
        <v>216</v>
      </c>
      <c r="K25" s="19">
        <v>45292</v>
      </c>
      <c r="L25" s="19">
        <v>410534</v>
      </c>
      <c r="M25" s="2" t="s">
        <v>105</v>
      </c>
      <c r="N25" s="2" t="s">
        <v>17</v>
      </c>
      <c r="O25" s="1" t="str">
        <f t="shared" si="1"/>
        <v>Laguna - Crystal</v>
      </c>
      <c r="P25" s="1" t="s">
        <v>11</v>
      </c>
      <c r="Q25" s="1" t="str">
        <f t="shared" si="2"/>
        <v>Beaches</v>
      </c>
    </row>
    <row r="26" spans="1:17" ht="100" x14ac:dyDescent="0.4">
      <c r="A26" s="1" t="s">
        <v>20</v>
      </c>
      <c r="B26" s="2" t="s">
        <v>340</v>
      </c>
      <c r="C26" s="17" t="s">
        <v>341</v>
      </c>
      <c r="D26" s="17" t="s">
        <v>343</v>
      </c>
      <c r="E26" s="2">
        <f t="shared" si="0"/>
        <v>133</v>
      </c>
      <c r="F26" s="5" t="s">
        <v>342</v>
      </c>
      <c r="G26" s="4">
        <v>92651</v>
      </c>
      <c r="H26" s="2" t="s">
        <v>288</v>
      </c>
      <c r="I26" s="5" t="s">
        <v>223</v>
      </c>
      <c r="J26" s="6" t="s">
        <v>222</v>
      </c>
      <c r="K26" s="19">
        <v>45292</v>
      </c>
      <c r="L26" s="19">
        <v>410534</v>
      </c>
      <c r="M26" s="2" t="s">
        <v>105</v>
      </c>
      <c r="N26" s="2" t="s">
        <v>17</v>
      </c>
      <c r="O26" s="1" t="str">
        <f t="shared" si="1"/>
        <v>Laguna - Divers</v>
      </c>
      <c r="P26" s="1" t="s">
        <v>11</v>
      </c>
      <c r="Q26" s="1" t="str">
        <f t="shared" si="2"/>
        <v>Beaches</v>
      </c>
    </row>
    <row r="27" spans="1:17" ht="87.5" x14ac:dyDescent="0.4">
      <c r="A27" s="1" t="s">
        <v>62</v>
      </c>
      <c r="B27" s="1" t="s">
        <v>221</v>
      </c>
      <c r="C27" s="17" t="s">
        <v>226</v>
      </c>
      <c r="D27" s="17" t="s">
        <v>227</v>
      </c>
      <c r="E27" s="2">
        <f t="shared" si="0"/>
        <v>141</v>
      </c>
      <c r="F27" s="5" t="s">
        <v>104</v>
      </c>
      <c r="G27" s="4">
        <v>92651</v>
      </c>
      <c r="H27" s="2" t="s">
        <v>228</v>
      </c>
      <c r="I27" s="5" t="s">
        <v>225</v>
      </c>
      <c r="J27" s="6" t="s">
        <v>224</v>
      </c>
      <c r="K27" s="19">
        <v>45292</v>
      </c>
      <c r="L27" s="19">
        <v>410534</v>
      </c>
      <c r="M27" s="2" t="s">
        <v>105</v>
      </c>
      <c r="N27" s="2" t="s">
        <v>17</v>
      </c>
      <c r="O27" s="1" t="str">
        <f t="shared" si="1"/>
        <v>Laguna - Emerald</v>
      </c>
      <c r="P27" s="1" t="s">
        <v>11</v>
      </c>
      <c r="Q27" s="1" t="str">
        <f t="shared" si="2"/>
        <v>Beaches</v>
      </c>
    </row>
    <row r="28" spans="1:17" ht="125" x14ac:dyDescent="0.4">
      <c r="A28" s="1" t="s">
        <v>63</v>
      </c>
      <c r="B28" s="2" t="s">
        <v>64</v>
      </c>
      <c r="C28" s="17" t="s">
        <v>231</v>
      </c>
      <c r="D28" s="17" t="s">
        <v>232</v>
      </c>
      <c r="E28" s="2">
        <f t="shared" si="0"/>
        <v>151</v>
      </c>
      <c r="F28" s="5" t="s">
        <v>104</v>
      </c>
      <c r="G28" s="4">
        <v>92651</v>
      </c>
      <c r="H28" s="2" t="s">
        <v>233</v>
      </c>
      <c r="I28" s="5" t="s">
        <v>230</v>
      </c>
      <c r="J28" s="6" t="s">
        <v>229</v>
      </c>
      <c r="K28" s="19">
        <v>45292</v>
      </c>
      <c r="L28" s="19">
        <v>410534</v>
      </c>
      <c r="M28" s="2" t="s">
        <v>105</v>
      </c>
      <c r="N28" s="2" t="s">
        <v>17</v>
      </c>
      <c r="O28" s="1" t="str">
        <f t="shared" si="1"/>
        <v>Laguna - Fishermans</v>
      </c>
      <c r="P28" s="1" t="s">
        <v>11</v>
      </c>
      <c r="Q28" s="1" t="str">
        <f t="shared" si="2"/>
        <v>Beaches</v>
      </c>
    </row>
    <row r="29" spans="1:17" ht="150" x14ac:dyDescent="0.4">
      <c r="A29" s="1" t="s">
        <v>65</v>
      </c>
      <c r="B29" s="2" t="s">
        <v>66</v>
      </c>
      <c r="C29" s="17" t="s">
        <v>236</v>
      </c>
      <c r="D29" s="17" t="s">
        <v>237</v>
      </c>
      <c r="E29" s="2">
        <f t="shared" si="0"/>
        <v>159</v>
      </c>
      <c r="F29" s="5" t="s">
        <v>104</v>
      </c>
      <c r="G29" s="4">
        <v>92651</v>
      </c>
      <c r="H29" s="2" t="s">
        <v>238</v>
      </c>
      <c r="I29" s="5" t="s">
        <v>235</v>
      </c>
      <c r="J29" s="6" t="s">
        <v>234</v>
      </c>
      <c r="K29" s="19">
        <v>45292</v>
      </c>
      <c r="L29" s="19">
        <v>410534</v>
      </c>
      <c r="M29" s="2" t="s">
        <v>105</v>
      </c>
      <c r="N29" s="2" t="s">
        <v>17</v>
      </c>
      <c r="O29" s="1" t="str">
        <f t="shared" si="1"/>
        <v>Laguna - Goff</v>
      </c>
      <c r="P29" s="1" t="s">
        <v>11</v>
      </c>
      <c r="Q29" s="1" t="str">
        <f t="shared" si="2"/>
        <v>Beaches</v>
      </c>
    </row>
    <row r="30" spans="1:17" ht="87.5" x14ac:dyDescent="0.4">
      <c r="A30" s="1" t="s">
        <v>67</v>
      </c>
      <c r="B30" s="1" t="s">
        <v>68</v>
      </c>
      <c r="C30" s="17" t="s">
        <v>239</v>
      </c>
      <c r="D30" s="17" t="s">
        <v>243</v>
      </c>
      <c r="E30" s="2">
        <f t="shared" si="0"/>
        <v>100</v>
      </c>
      <c r="F30" s="5" t="s">
        <v>104</v>
      </c>
      <c r="G30" s="4">
        <v>92651</v>
      </c>
      <c r="H30" s="2" t="s">
        <v>242</v>
      </c>
      <c r="I30" s="5" t="s">
        <v>241</v>
      </c>
      <c r="J30" s="6" t="s">
        <v>240</v>
      </c>
      <c r="K30" s="19">
        <v>45292</v>
      </c>
      <c r="L30" s="19">
        <v>410534</v>
      </c>
      <c r="M30" s="2" t="s">
        <v>105</v>
      </c>
      <c r="N30" s="2" t="s">
        <v>17</v>
      </c>
      <c r="O30" s="1" t="str">
        <f t="shared" si="1"/>
        <v>Laguna - Irvine</v>
      </c>
      <c r="P30" s="1" t="s">
        <v>11</v>
      </c>
      <c r="Q30" s="1" t="str">
        <f t="shared" si="2"/>
        <v>Beaches</v>
      </c>
    </row>
    <row r="31" spans="1:17" ht="112.5" x14ac:dyDescent="0.4">
      <c r="A31" s="1" t="s">
        <v>69</v>
      </c>
      <c r="B31" s="2" t="s">
        <v>344</v>
      </c>
      <c r="C31" s="17" t="s">
        <v>345</v>
      </c>
      <c r="D31" s="17" t="s">
        <v>346</v>
      </c>
      <c r="E31" s="2">
        <f t="shared" si="0"/>
        <v>151</v>
      </c>
      <c r="F31" s="5" t="s">
        <v>342</v>
      </c>
      <c r="G31" s="4">
        <v>92651</v>
      </c>
      <c r="H31" s="2" t="s">
        <v>246</v>
      </c>
      <c r="I31" s="5" t="s">
        <v>245</v>
      </c>
      <c r="J31" s="6" t="s">
        <v>244</v>
      </c>
      <c r="K31" s="19">
        <v>45292</v>
      </c>
      <c r="L31" s="19">
        <v>410534</v>
      </c>
      <c r="M31" s="2" t="s">
        <v>105</v>
      </c>
      <c r="N31" s="2" t="s">
        <v>17</v>
      </c>
      <c r="O31" s="1" t="str">
        <f t="shared" si="1"/>
        <v>Laguna - Main</v>
      </c>
      <c r="P31" s="1" t="s">
        <v>11</v>
      </c>
      <c r="Q31" s="1" t="str">
        <f t="shared" si="2"/>
        <v>Beaches</v>
      </c>
    </row>
    <row r="32" spans="1:17" ht="112.5" x14ac:dyDescent="0.4">
      <c r="A32" s="1" t="s">
        <v>70</v>
      </c>
      <c r="B32" s="2" t="s">
        <v>71</v>
      </c>
      <c r="C32" s="17" t="s">
        <v>253</v>
      </c>
      <c r="D32" s="17" t="s">
        <v>250</v>
      </c>
      <c r="E32" s="2">
        <f t="shared" si="0"/>
        <v>140</v>
      </c>
      <c r="F32" s="5" t="s">
        <v>104</v>
      </c>
      <c r="G32" s="4">
        <v>92651</v>
      </c>
      <c r="H32" s="2" t="s">
        <v>249</v>
      </c>
      <c r="I32" s="5" t="s">
        <v>248</v>
      </c>
      <c r="J32" s="6" t="s">
        <v>247</v>
      </c>
      <c r="K32" s="19">
        <v>45292</v>
      </c>
      <c r="L32" s="19">
        <v>410534</v>
      </c>
      <c r="M32" s="2" t="s">
        <v>105</v>
      </c>
      <c r="N32" s="2" t="s">
        <v>17</v>
      </c>
      <c r="O32" s="1" t="str">
        <f t="shared" si="1"/>
        <v>Laguna - Middle</v>
      </c>
      <c r="P32" s="1" t="s">
        <v>11</v>
      </c>
      <c r="Q32" s="1" t="str">
        <f t="shared" si="2"/>
        <v>Beaches</v>
      </c>
    </row>
    <row r="33" spans="1:17" ht="137.5" x14ac:dyDescent="0.4">
      <c r="A33" s="1" t="s">
        <v>32</v>
      </c>
      <c r="B33" s="1" t="s">
        <v>35</v>
      </c>
      <c r="C33" s="17" t="s">
        <v>254</v>
      </c>
      <c r="D33" s="17" t="s">
        <v>255</v>
      </c>
      <c r="E33" s="2">
        <f t="shared" si="0"/>
        <v>150</v>
      </c>
      <c r="F33" s="5" t="s">
        <v>104</v>
      </c>
      <c r="G33" s="4">
        <v>92651</v>
      </c>
      <c r="H33" s="2" t="s">
        <v>249</v>
      </c>
      <c r="I33" s="5" t="s">
        <v>252</v>
      </c>
      <c r="J33" s="6" t="s">
        <v>251</v>
      </c>
      <c r="K33" s="19">
        <v>45292</v>
      </c>
      <c r="L33" s="19">
        <v>410534</v>
      </c>
      <c r="M33" s="2" t="s">
        <v>105</v>
      </c>
      <c r="N33" s="2" t="s">
        <v>17</v>
      </c>
      <c r="O33" s="1" t="str">
        <f t="shared" si="1"/>
        <v>Laguna - Montage</v>
      </c>
      <c r="P33" s="1" t="s">
        <v>11</v>
      </c>
      <c r="Q33" s="1" t="str">
        <f t="shared" si="2"/>
        <v>Beaches</v>
      </c>
    </row>
    <row r="34" spans="1:17" ht="112.5" x14ac:dyDescent="0.4">
      <c r="A34" s="1" t="s">
        <v>72</v>
      </c>
      <c r="B34" s="2" t="s">
        <v>73</v>
      </c>
      <c r="C34" s="17" t="s">
        <v>258</v>
      </c>
      <c r="D34" s="17" t="s">
        <v>259</v>
      </c>
      <c r="E34" s="2">
        <f t="shared" ref="E34:E50" si="3">LEN(D34)</f>
        <v>155</v>
      </c>
      <c r="F34" s="5" t="s">
        <v>104</v>
      </c>
      <c r="G34" s="4">
        <v>92651</v>
      </c>
      <c r="H34" s="2" t="s">
        <v>260</v>
      </c>
      <c r="I34" s="5" t="s">
        <v>257</v>
      </c>
      <c r="J34" s="6" t="s">
        <v>256</v>
      </c>
      <c r="K34" s="19">
        <v>45292</v>
      </c>
      <c r="L34" s="19">
        <v>410534</v>
      </c>
      <c r="M34" s="2" t="s">
        <v>105</v>
      </c>
      <c r="N34" s="2" t="s">
        <v>17</v>
      </c>
      <c r="O34" s="1" t="str">
        <f t="shared" ref="O34:O50" si="4">I34</f>
        <v>Laguna - Moss</v>
      </c>
      <c r="P34" s="1" t="s">
        <v>11</v>
      </c>
      <c r="Q34" s="1" t="str">
        <f t="shared" ref="Q34:Q50" si="5">N34</f>
        <v>Beaches</v>
      </c>
    </row>
    <row r="35" spans="1:17" ht="125" x14ac:dyDescent="0.4">
      <c r="A35" s="1" t="s">
        <v>74</v>
      </c>
      <c r="B35" s="2" t="s">
        <v>75</v>
      </c>
      <c r="C35" s="17" t="s">
        <v>264</v>
      </c>
      <c r="D35" s="17" t="s">
        <v>265</v>
      </c>
      <c r="E35" s="2">
        <f t="shared" si="3"/>
        <v>154</v>
      </c>
      <c r="F35" s="5" t="s">
        <v>104</v>
      </c>
      <c r="G35" s="4">
        <v>92651</v>
      </c>
      <c r="H35" s="2" t="s">
        <v>261</v>
      </c>
      <c r="I35" s="5" t="s">
        <v>262</v>
      </c>
      <c r="J35" s="6" t="s">
        <v>263</v>
      </c>
      <c r="K35" s="19">
        <v>45292</v>
      </c>
      <c r="L35" s="19">
        <v>410534</v>
      </c>
      <c r="M35" s="2" t="s">
        <v>105</v>
      </c>
      <c r="N35" s="2" t="s">
        <v>17</v>
      </c>
      <c r="O35" s="1" t="str">
        <f t="shared" si="4"/>
        <v>Laguna - Mountain</v>
      </c>
      <c r="P35" s="1" t="s">
        <v>11</v>
      </c>
      <c r="Q35" s="1" t="str">
        <f t="shared" si="5"/>
        <v>Beaches</v>
      </c>
    </row>
    <row r="36" spans="1:17" ht="100" x14ac:dyDescent="0.4">
      <c r="A36" s="1" t="s">
        <v>76</v>
      </c>
      <c r="B36" s="2" t="s">
        <v>77</v>
      </c>
      <c r="C36" s="17" t="s">
        <v>269</v>
      </c>
      <c r="D36" s="17" t="s">
        <v>270</v>
      </c>
      <c r="E36" s="2">
        <f t="shared" si="3"/>
        <v>160</v>
      </c>
      <c r="F36" s="5" t="s">
        <v>104</v>
      </c>
      <c r="G36" s="4">
        <v>92651</v>
      </c>
      <c r="H36" s="2" t="s">
        <v>266</v>
      </c>
      <c r="I36" s="5" t="s">
        <v>267</v>
      </c>
      <c r="J36" s="6" t="s">
        <v>268</v>
      </c>
      <c r="K36" s="19">
        <v>45292</v>
      </c>
      <c r="L36" s="19">
        <v>410534</v>
      </c>
      <c r="M36" s="2" t="s">
        <v>105</v>
      </c>
      <c r="N36" s="2" t="s">
        <v>17</v>
      </c>
      <c r="O36" s="1" t="str">
        <f t="shared" si="4"/>
        <v>Laguna - Oak</v>
      </c>
      <c r="P36" s="1" t="s">
        <v>11</v>
      </c>
      <c r="Q36" s="1" t="str">
        <f t="shared" si="5"/>
        <v>Beaches</v>
      </c>
    </row>
    <row r="37" spans="1:17" ht="175" x14ac:dyDescent="0.4">
      <c r="A37" s="1" t="s">
        <v>78</v>
      </c>
      <c r="B37" s="2" t="s">
        <v>271</v>
      </c>
      <c r="C37" s="17" t="s">
        <v>275</v>
      </c>
      <c r="D37" s="17" t="s">
        <v>276</v>
      </c>
      <c r="E37" s="2">
        <f t="shared" si="3"/>
        <v>107</v>
      </c>
      <c r="F37" s="5" t="s">
        <v>104</v>
      </c>
      <c r="G37" s="4">
        <v>92651</v>
      </c>
      <c r="H37" s="2" t="s">
        <v>272</v>
      </c>
      <c r="I37" s="5" t="s">
        <v>273</v>
      </c>
      <c r="J37" s="6" t="s">
        <v>274</v>
      </c>
      <c r="K37" s="19">
        <v>45292</v>
      </c>
      <c r="L37" s="19">
        <v>410534</v>
      </c>
      <c r="M37" s="2" t="s">
        <v>105</v>
      </c>
      <c r="N37" s="2" t="s">
        <v>17</v>
      </c>
      <c r="O37" s="1" t="str">
        <f t="shared" si="4"/>
        <v>Laguna - Pearl</v>
      </c>
      <c r="P37" s="1" t="s">
        <v>11</v>
      </c>
      <c r="Q37" s="1" t="str">
        <f t="shared" si="5"/>
        <v>Beaches</v>
      </c>
    </row>
    <row r="38" spans="1:17" ht="112.5" x14ac:dyDescent="0.4">
      <c r="A38" s="1" t="s">
        <v>79</v>
      </c>
      <c r="B38" s="2" t="s">
        <v>80</v>
      </c>
      <c r="C38" s="17" t="s">
        <v>279</v>
      </c>
      <c r="D38" s="17" t="s">
        <v>280</v>
      </c>
      <c r="E38" s="2">
        <f t="shared" si="3"/>
        <v>143</v>
      </c>
      <c r="F38" s="5" t="s">
        <v>104</v>
      </c>
      <c r="G38" s="4">
        <v>92651</v>
      </c>
      <c r="H38" s="2" t="s">
        <v>281</v>
      </c>
      <c r="I38" s="5" t="s">
        <v>278</v>
      </c>
      <c r="J38" s="6" t="s">
        <v>277</v>
      </c>
      <c r="K38" s="19">
        <v>45292</v>
      </c>
      <c r="L38" s="19">
        <v>410534</v>
      </c>
      <c r="M38" s="2" t="s">
        <v>105</v>
      </c>
      <c r="N38" s="2" t="s">
        <v>17</v>
      </c>
      <c r="O38" s="1" t="str">
        <f t="shared" si="4"/>
        <v>Laguna - Picnic</v>
      </c>
      <c r="P38" s="1" t="s">
        <v>11</v>
      </c>
      <c r="Q38" s="1" t="str">
        <f t="shared" si="5"/>
        <v>Beaches</v>
      </c>
    </row>
    <row r="39" spans="1:17" ht="112.5" x14ac:dyDescent="0.4">
      <c r="A39" s="1" t="s">
        <v>81</v>
      </c>
      <c r="B39" s="2" t="s">
        <v>347</v>
      </c>
      <c r="C39" s="17" t="s">
        <v>348</v>
      </c>
      <c r="D39" s="17" t="s">
        <v>349</v>
      </c>
      <c r="E39" s="2">
        <f t="shared" si="3"/>
        <v>160</v>
      </c>
      <c r="F39" s="5" t="s">
        <v>342</v>
      </c>
      <c r="G39" s="4">
        <v>92651</v>
      </c>
      <c r="H39" s="2" t="s">
        <v>284</v>
      </c>
      <c r="I39" s="5" t="s">
        <v>282</v>
      </c>
      <c r="J39" s="6" t="s">
        <v>283</v>
      </c>
      <c r="K39" s="19">
        <v>45292</v>
      </c>
      <c r="L39" s="19">
        <v>410534</v>
      </c>
      <c r="M39" s="2" t="s">
        <v>105</v>
      </c>
      <c r="N39" s="2" t="s">
        <v>17</v>
      </c>
      <c r="O39" s="1" t="str">
        <f t="shared" si="4"/>
        <v>Laguna - Rockpile</v>
      </c>
      <c r="P39" s="1" t="s">
        <v>11</v>
      </c>
      <c r="Q39" s="1" t="str">
        <f t="shared" si="5"/>
        <v>Beaches</v>
      </c>
    </row>
    <row r="40" spans="1:17" ht="137.5" x14ac:dyDescent="0.4">
      <c r="A40" s="1" t="s">
        <v>26</v>
      </c>
      <c r="B40" s="2" t="s">
        <v>350</v>
      </c>
      <c r="C40" s="17" t="s">
        <v>351</v>
      </c>
      <c r="D40" s="17" t="s">
        <v>352</v>
      </c>
      <c r="E40" s="2">
        <f t="shared" si="3"/>
        <v>154</v>
      </c>
      <c r="F40" s="5" t="s">
        <v>342</v>
      </c>
      <c r="G40" s="4">
        <v>92651</v>
      </c>
      <c r="H40" s="2" t="s">
        <v>287</v>
      </c>
      <c r="I40" s="4" t="s">
        <v>286</v>
      </c>
      <c r="J40" s="6" t="s">
        <v>285</v>
      </c>
      <c r="K40" s="19">
        <v>45292</v>
      </c>
      <c r="L40" s="19">
        <v>410534</v>
      </c>
      <c r="M40" s="2" t="s">
        <v>105</v>
      </c>
      <c r="N40" s="2" t="s">
        <v>17</v>
      </c>
      <c r="O40" s="1" t="str">
        <f t="shared" si="4"/>
        <v>Laguna - Shaws</v>
      </c>
      <c r="P40" s="1" t="s">
        <v>11</v>
      </c>
      <c r="Q40" s="1" t="str">
        <f t="shared" si="5"/>
        <v>Beaches</v>
      </c>
    </row>
    <row r="41" spans="1:17" ht="112.5" x14ac:dyDescent="0.4">
      <c r="A41" s="1" t="s">
        <v>82</v>
      </c>
      <c r="B41" s="2" t="s">
        <v>83</v>
      </c>
      <c r="C41" s="17" t="s">
        <v>293</v>
      </c>
      <c r="D41" s="17" t="s">
        <v>294</v>
      </c>
      <c r="E41" s="2">
        <f t="shared" si="3"/>
        <v>159</v>
      </c>
      <c r="F41" s="5" t="s">
        <v>104</v>
      </c>
      <c r="G41" s="4">
        <v>92651</v>
      </c>
      <c r="H41" s="2" t="s">
        <v>295</v>
      </c>
      <c r="I41" s="4" t="s">
        <v>292</v>
      </c>
      <c r="J41" s="6" t="s">
        <v>291</v>
      </c>
      <c r="K41" s="19">
        <v>45292</v>
      </c>
      <c r="L41" s="19">
        <v>410534</v>
      </c>
      <c r="M41" s="2" t="s">
        <v>105</v>
      </c>
      <c r="N41" s="2" t="s">
        <v>17</v>
      </c>
      <c r="O41" s="1" t="str">
        <f t="shared" si="4"/>
        <v>Laguna - Sleepy</v>
      </c>
      <c r="P41" s="1" t="s">
        <v>11</v>
      </c>
      <c r="Q41" s="1" t="str">
        <f t="shared" si="5"/>
        <v>Beaches</v>
      </c>
    </row>
    <row r="42" spans="1:17" ht="137.5" x14ac:dyDescent="0.4">
      <c r="A42" s="1" t="s">
        <v>84</v>
      </c>
      <c r="B42" s="2" t="s">
        <v>85</v>
      </c>
      <c r="C42" s="17" t="s">
        <v>299</v>
      </c>
      <c r="D42" s="17" t="s">
        <v>300</v>
      </c>
      <c r="E42" s="2">
        <f t="shared" si="3"/>
        <v>135</v>
      </c>
      <c r="F42" s="5" t="s">
        <v>104</v>
      </c>
      <c r="G42" s="4">
        <v>92651</v>
      </c>
      <c r="H42" s="2" t="s">
        <v>296</v>
      </c>
      <c r="I42" s="5" t="s">
        <v>297</v>
      </c>
      <c r="J42" s="6" t="s">
        <v>298</v>
      </c>
      <c r="K42" s="19">
        <v>45292</v>
      </c>
      <c r="L42" s="19">
        <v>410534</v>
      </c>
      <c r="M42" s="2" t="s">
        <v>105</v>
      </c>
      <c r="N42" s="2" t="s">
        <v>17</v>
      </c>
      <c r="O42" s="1" t="str">
        <f t="shared" si="4"/>
        <v>Laguna - St. Ann</v>
      </c>
      <c r="P42" s="1" t="s">
        <v>11</v>
      </c>
      <c r="Q42" s="1" t="str">
        <f t="shared" si="5"/>
        <v>Beaches</v>
      </c>
    </row>
    <row r="43" spans="1:17" ht="137.5" x14ac:dyDescent="0.4">
      <c r="A43" s="1" t="s">
        <v>86</v>
      </c>
      <c r="B43" s="2" t="s">
        <v>87</v>
      </c>
      <c r="C43" s="17" t="s">
        <v>304</v>
      </c>
      <c r="D43" s="17" t="s">
        <v>305</v>
      </c>
      <c r="E43" s="2">
        <f t="shared" si="3"/>
        <v>160</v>
      </c>
      <c r="F43" s="5" t="s">
        <v>104</v>
      </c>
      <c r="G43" s="3">
        <v>92651</v>
      </c>
      <c r="H43" s="2" t="s">
        <v>301</v>
      </c>
      <c r="I43" s="1" t="s">
        <v>302</v>
      </c>
      <c r="J43" s="6" t="s">
        <v>303</v>
      </c>
      <c r="K43" s="19">
        <v>45292</v>
      </c>
      <c r="L43" s="19">
        <v>410534</v>
      </c>
      <c r="M43" s="2" t="s">
        <v>105</v>
      </c>
      <c r="N43" s="2" t="s">
        <v>17</v>
      </c>
      <c r="O43" s="1" t="str">
        <f t="shared" si="4"/>
        <v>Laguna - Table</v>
      </c>
      <c r="P43" s="1" t="s">
        <v>11</v>
      </c>
      <c r="Q43" s="1" t="str">
        <f t="shared" si="5"/>
        <v>Beaches</v>
      </c>
    </row>
    <row r="44" spans="1:17" ht="150" x14ac:dyDescent="0.4">
      <c r="A44" s="1" t="s">
        <v>88</v>
      </c>
      <c r="B44" s="2" t="s">
        <v>89</v>
      </c>
      <c r="C44" s="17" t="s">
        <v>309</v>
      </c>
      <c r="D44" s="17" t="s">
        <v>310</v>
      </c>
      <c r="E44" s="2">
        <f t="shared" si="3"/>
        <v>127</v>
      </c>
      <c r="F44" s="5" t="s">
        <v>104</v>
      </c>
      <c r="G44" s="3">
        <v>92651</v>
      </c>
      <c r="H44" s="2" t="s">
        <v>306</v>
      </c>
      <c r="I44" s="5" t="s">
        <v>307</v>
      </c>
      <c r="J44" s="6" t="s">
        <v>308</v>
      </c>
      <c r="K44" s="19">
        <v>45292</v>
      </c>
      <c r="L44" s="19">
        <v>410534</v>
      </c>
      <c r="M44" s="2" t="s">
        <v>105</v>
      </c>
      <c r="N44" s="2" t="s">
        <v>17</v>
      </c>
      <c r="O44" s="1" t="str">
        <f t="shared" si="4"/>
        <v>Laguna - Thalia</v>
      </c>
      <c r="P44" s="1" t="s">
        <v>11</v>
      </c>
      <c r="Q44" s="1" t="str">
        <f t="shared" si="5"/>
        <v>Beaches</v>
      </c>
    </row>
    <row r="45" spans="1:17" ht="87.5" x14ac:dyDescent="0.4">
      <c r="A45" s="1" t="s">
        <v>90</v>
      </c>
      <c r="B45" s="2" t="s">
        <v>91</v>
      </c>
      <c r="C45" s="17" t="s">
        <v>314</v>
      </c>
      <c r="D45" s="17" t="s">
        <v>315</v>
      </c>
      <c r="E45" s="2">
        <f t="shared" si="3"/>
        <v>111</v>
      </c>
      <c r="F45" s="5" t="s">
        <v>104</v>
      </c>
      <c r="G45" s="3">
        <v>92651</v>
      </c>
      <c r="H45" s="2" t="s">
        <v>313</v>
      </c>
      <c r="I45" s="5" t="s">
        <v>312</v>
      </c>
      <c r="J45" s="6" t="s">
        <v>311</v>
      </c>
      <c r="K45" s="19">
        <v>45292</v>
      </c>
      <c r="L45" s="19">
        <v>410534</v>
      </c>
      <c r="M45" s="2" t="s">
        <v>105</v>
      </c>
      <c r="N45" s="2" t="s">
        <v>17</v>
      </c>
      <c r="O45" s="1" t="str">
        <f t="shared" si="4"/>
        <v>Laguna - Three</v>
      </c>
      <c r="P45" s="1" t="s">
        <v>11</v>
      </c>
      <c r="Q45" s="1" t="str">
        <f t="shared" si="5"/>
        <v>Beaches</v>
      </c>
    </row>
    <row r="46" spans="1:17" ht="87.5" x14ac:dyDescent="0.4">
      <c r="A46" s="1" t="s">
        <v>92</v>
      </c>
      <c r="B46" s="2" t="s">
        <v>93</v>
      </c>
      <c r="C46" s="17" t="s">
        <v>318</v>
      </c>
      <c r="D46" s="17" t="s">
        <v>319</v>
      </c>
      <c r="E46" s="2">
        <f t="shared" si="3"/>
        <v>138</v>
      </c>
      <c r="F46" s="5" t="s">
        <v>104</v>
      </c>
      <c r="G46" s="3">
        <v>92651</v>
      </c>
      <c r="H46" s="2" t="s">
        <v>320</v>
      </c>
      <c r="I46" s="5" t="s">
        <v>317</v>
      </c>
      <c r="J46" s="6" t="s">
        <v>316</v>
      </c>
      <c r="K46" s="19">
        <v>45292</v>
      </c>
      <c r="L46" s="19">
        <v>410534</v>
      </c>
      <c r="M46" s="2" t="s">
        <v>105</v>
      </c>
      <c r="N46" s="2" t="s">
        <v>17</v>
      </c>
      <c r="O46" s="1" t="str">
        <f t="shared" si="4"/>
        <v>Laguna - Totuava</v>
      </c>
      <c r="P46" s="1" t="s">
        <v>11</v>
      </c>
      <c r="Q46" s="1" t="str">
        <f t="shared" si="5"/>
        <v>Beaches</v>
      </c>
    </row>
    <row r="47" spans="1:17" ht="150" x14ac:dyDescent="0.4">
      <c r="A47" s="1" t="s">
        <v>94</v>
      </c>
      <c r="B47" s="2" t="s">
        <v>356</v>
      </c>
      <c r="C47" s="17" t="s">
        <v>357</v>
      </c>
      <c r="D47" s="17" t="s">
        <v>358</v>
      </c>
      <c r="E47" s="2">
        <f t="shared" si="3"/>
        <v>157</v>
      </c>
      <c r="F47" s="5" t="s">
        <v>342</v>
      </c>
      <c r="G47" s="3">
        <v>92651</v>
      </c>
      <c r="H47" s="2" t="s">
        <v>323</v>
      </c>
      <c r="I47" s="1" t="s">
        <v>322</v>
      </c>
      <c r="J47" s="6" t="s">
        <v>321</v>
      </c>
      <c r="K47" s="19">
        <v>45292</v>
      </c>
      <c r="L47" s="19">
        <v>410534</v>
      </c>
      <c r="M47" s="2" t="s">
        <v>105</v>
      </c>
      <c r="N47" s="2" t="s">
        <v>17</v>
      </c>
      <c r="O47" s="1" t="str">
        <f t="shared" si="4"/>
        <v>Laguna - Treasure</v>
      </c>
      <c r="P47" s="1" t="s">
        <v>11</v>
      </c>
      <c r="Q47" s="1" t="str">
        <f t="shared" si="5"/>
        <v>Beaches</v>
      </c>
    </row>
    <row r="48" spans="1:17" ht="112.5" x14ac:dyDescent="0.4">
      <c r="A48" s="1" t="s">
        <v>95</v>
      </c>
      <c r="B48" s="2" t="s">
        <v>101</v>
      </c>
      <c r="C48" s="17" t="s">
        <v>327</v>
      </c>
      <c r="D48" s="17" t="s">
        <v>328</v>
      </c>
      <c r="E48" s="2">
        <f t="shared" si="3"/>
        <v>155</v>
      </c>
      <c r="F48" s="5" t="s">
        <v>104</v>
      </c>
      <c r="G48" s="3">
        <v>92651</v>
      </c>
      <c r="H48" s="2" t="s">
        <v>326</v>
      </c>
      <c r="I48" s="1" t="s">
        <v>325</v>
      </c>
      <c r="J48" s="6" t="s">
        <v>324</v>
      </c>
      <c r="K48" s="19">
        <v>45292</v>
      </c>
      <c r="L48" s="19">
        <v>410534</v>
      </c>
      <c r="M48" s="2" t="s">
        <v>105</v>
      </c>
      <c r="N48" s="2" t="s">
        <v>17</v>
      </c>
      <c r="O48" s="1" t="str">
        <f t="shared" si="4"/>
        <v>Laguna - Victoria</v>
      </c>
      <c r="P48" s="1" t="s">
        <v>11</v>
      </c>
      <c r="Q48" s="1" t="str">
        <f t="shared" si="5"/>
        <v>Beaches</v>
      </c>
    </row>
    <row r="49" spans="1:17" ht="150" x14ac:dyDescent="0.4">
      <c r="A49" s="1" t="s">
        <v>96</v>
      </c>
      <c r="B49" s="2" t="s">
        <v>97</v>
      </c>
      <c r="C49" s="17" t="s">
        <v>331</v>
      </c>
      <c r="D49" s="17" t="s">
        <v>332</v>
      </c>
      <c r="E49" s="2">
        <f t="shared" si="3"/>
        <v>158</v>
      </c>
      <c r="F49" s="5" t="s">
        <v>104</v>
      </c>
      <c r="G49" s="3">
        <v>92651</v>
      </c>
      <c r="H49" s="2" t="s">
        <v>333</v>
      </c>
      <c r="I49" s="1" t="s">
        <v>330</v>
      </c>
      <c r="J49" s="6" t="s">
        <v>329</v>
      </c>
      <c r="K49" s="19">
        <v>45292</v>
      </c>
      <c r="L49" s="19">
        <v>410534</v>
      </c>
      <c r="M49" s="2" t="s">
        <v>105</v>
      </c>
      <c r="N49" s="2" t="s">
        <v>17</v>
      </c>
      <c r="O49" s="1" t="str">
        <f t="shared" si="4"/>
        <v>Laguna - West</v>
      </c>
      <c r="P49" s="1" t="s">
        <v>11</v>
      </c>
      <c r="Q49" s="1" t="str">
        <f t="shared" si="5"/>
        <v>Beaches</v>
      </c>
    </row>
    <row r="50" spans="1:17" ht="100" x14ac:dyDescent="0.4">
      <c r="A50" s="1" t="s">
        <v>30</v>
      </c>
      <c r="B50" s="2" t="s">
        <v>359</v>
      </c>
      <c r="C50" s="17" t="s">
        <v>360</v>
      </c>
      <c r="D50" s="17" t="s">
        <v>361</v>
      </c>
      <c r="E50" s="2">
        <f t="shared" si="3"/>
        <v>156</v>
      </c>
      <c r="F50" s="5" t="s">
        <v>342</v>
      </c>
      <c r="G50" s="3">
        <v>92651</v>
      </c>
      <c r="H50" s="2" t="s">
        <v>336</v>
      </c>
      <c r="I50" s="5" t="s">
        <v>335</v>
      </c>
      <c r="J50" s="6" t="s">
        <v>334</v>
      </c>
      <c r="K50" s="19">
        <v>45292</v>
      </c>
      <c r="L50" s="19">
        <v>410534</v>
      </c>
      <c r="M50" s="2" t="s">
        <v>105</v>
      </c>
      <c r="N50" s="2" t="s">
        <v>17</v>
      </c>
      <c r="O50" s="1" t="str">
        <f t="shared" si="4"/>
        <v>Laguna - Woods</v>
      </c>
      <c r="P50" s="1" t="s">
        <v>11</v>
      </c>
      <c r="Q50" s="1" t="str">
        <f t="shared" si="5"/>
        <v>Beaches</v>
      </c>
    </row>
    <row r="51" spans="1:17" ht="34" x14ac:dyDescent="0.4">
      <c r="A51" s="1"/>
      <c r="B51" s="1"/>
      <c r="C51" s="5"/>
      <c r="D51" s="5"/>
      <c r="E51" s="5"/>
      <c r="F51" s="5"/>
      <c r="G51" s="5"/>
      <c r="H51" s="5"/>
      <c r="I51" s="5"/>
      <c r="J51" s="5"/>
      <c r="K51" s="19">
        <v>45292</v>
      </c>
      <c r="L51" s="19">
        <v>410534</v>
      </c>
      <c r="M51" s="2" t="s">
        <v>105</v>
      </c>
      <c r="N51" s="2" t="s">
        <v>17</v>
      </c>
      <c r="O51" s="1">
        <f t="shared" ref="O51:O52" si="6">I51</f>
        <v>0</v>
      </c>
      <c r="P51" s="1" t="s">
        <v>11</v>
      </c>
      <c r="Q51" s="1" t="str">
        <f t="shared" ref="Q51:Q52" si="7">N51</f>
        <v>Beaches</v>
      </c>
    </row>
    <row r="52" spans="1:17" ht="34" x14ac:dyDescent="0.4">
      <c r="A52" s="1"/>
      <c r="B52" s="1"/>
      <c r="C52" s="5"/>
      <c r="D52" s="5"/>
      <c r="E52" s="5"/>
      <c r="F52" s="5"/>
      <c r="G52" s="5"/>
      <c r="H52" s="5"/>
      <c r="I52" s="5"/>
      <c r="J52" s="5"/>
      <c r="K52" s="19">
        <v>45292</v>
      </c>
      <c r="L52" s="19">
        <v>410534</v>
      </c>
      <c r="M52" s="2" t="s">
        <v>105</v>
      </c>
      <c r="N52" s="2" t="s">
        <v>17</v>
      </c>
      <c r="O52" s="1">
        <f t="shared" si="6"/>
        <v>0</v>
      </c>
      <c r="P52" s="1" t="s">
        <v>11</v>
      </c>
      <c r="Q52" s="1" t="str">
        <f t="shared" si="7"/>
        <v>Beaches</v>
      </c>
    </row>
  </sheetData>
  <autoFilter ref="A1:Q52" xr:uid="{63DA3E44-3605-449C-AE11-8D4FB01A0BBE}">
    <sortState xmlns:xlrd2="http://schemas.microsoft.com/office/spreadsheetml/2017/richdata2" ref="A2:Q52">
      <sortCondition ref="B1:B5"/>
    </sortState>
  </autoFilter>
  <hyperlinks>
    <hyperlink ref="D8" r:id="rId1" tooltip="Dana Point Headlands Beach" display="https://www.californiabeaches.com/beach/dana-point-headlands-beach/" xr:uid="{8CFF5786-B4A4-4905-BB26-1B9B4FE44404}"/>
  </hyperlinks>
  <pageMargins left="0.7" right="0.7" top="0.75" bottom="0.75" header="0.3" footer="0.3"/>
  <pageSetup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Beaches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Wendy McCarl</dc:creator>
  <cp:lastModifiedBy>Wendy McCarl</cp:lastModifiedBy>
  <cp:lastPrinted>2024-06-17T03:46:28Z</cp:lastPrinted>
  <dcterms:created xsi:type="dcterms:W3CDTF">2024-03-17T21:07:34Z</dcterms:created>
  <dcterms:modified xsi:type="dcterms:W3CDTF">2024-07-13T22:27:05Z</dcterms:modified>
</cp:coreProperties>
</file>