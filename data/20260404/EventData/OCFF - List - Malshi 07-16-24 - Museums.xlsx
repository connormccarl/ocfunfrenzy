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951" documentId="8_{31300D46-171A-4029-A809-6BFBD5A16D36}" xr6:coauthVersionLast="47" xr6:coauthVersionMax="47" xr10:uidLastSave="{0F29FEAE-43BE-42BB-AFDB-D059BB476CA7}"/>
  <bookViews>
    <workbookView xWindow="-110" yWindow="-110" windowWidth="19420" windowHeight="11500" xr2:uid="{3F4AF157-4EA4-44F9-9369-4ED39BF1C451}"/>
  </bookViews>
  <sheets>
    <sheet name="Museums" sheetId="2" r:id="rId1"/>
  </sheets>
  <definedNames>
    <definedName name="_xlnm._FilterDatabase" localSheetId="0" hidden="1">Museums!$A$1:$Q$35</definedName>
    <definedName name="_xlnm.Print_Area" localSheetId="0">Museums!$A$1:$B$48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2" l="1"/>
  <c r="Q14" i="2"/>
  <c r="Q15" i="2"/>
  <c r="Q18" i="2"/>
  <c r="Q20" i="2"/>
  <c r="Q21" i="2"/>
  <c r="Q25" i="2"/>
  <c r="Q27" i="2"/>
  <c r="Q28" i="2"/>
  <c r="Q40" i="2"/>
  <c r="Q47" i="2"/>
  <c r="O8" i="2"/>
  <c r="O14" i="2"/>
  <c r="O15" i="2"/>
  <c r="O18" i="2"/>
  <c r="O20" i="2"/>
  <c r="O21" i="2"/>
  <c r="O25" i="2"/>
  <c r="O27" i="2"/>
  <c r="O28" i="2"/>
  <c r="O40" i="2"/>
  <c r="O47" i="2"/>
  <c r="E8" i="2"/>
  <c r="E14" i="2"/>
  <c r="E15" i="2"/>
  <c r="E18" i="2"/>
  <c r="E20" i="2"/>
  <c r="E21" i="2"/>
  <c r="E25" i="2"/>
  <c r="E27" i="2"/>
  <c r="E28" i="2"/>
  <c r="E40" i="2"/>
  <c r="E47" i="2"/>
  <c r="Q17" i="2" l="1"/>
  <c r="O17" i="2"/>
  <c r="E17" i="2"/>
  <c r="E30" i="2"/>
  <c r="E10" i="2"/>
  <c r="Q10" i="2"/>
  <c r="Q30" i="2"/>
  <c r="O10" i="2"/>
  <c r="O30" i="2"/>
  <c r="Q4" i="2"/>
  <c r="Q39" i="2"/>
  <c r="Q23" i="2"/>
  <c r="Q36" i="2"/>
  <c r="Q24" i="2"/>
  <c r="Q42" i="2"/>
  <c r="Q12" i="2"/>
  <c r="Q3" i="2"/>
  <c r="O4" i="2"/>
  <c r="O39" i="2"/>
  <c r="O23" i="2"/>
  <c r="O36" i="2"/>
  <c r="E39" i="2"/>
  <c r="E36" i="2"/>
  <c r="E23" i="2"/>
  <c r="E4" i="2"/>
  <c r="Q38" i="2"/>
  <c r="Q6" i="2"/>
  <c r="Q16" i="2"/>
  <c r="Q22" i="2"/>
  <c r="Q41" i="2"/>
  <c r="Q34" i="2"/>
  <c r="Q32" i="2"/>
  <c r="Q44" i="2"/>
  <c r="Q31" i="2"/>
  <c r="Q19" i="2"/>
  <c r="Q45" i="2"/>
  <c r="Q9" i="2"/>
  <c r="Q11" i="2"/>
  <c r="Q13" i="2"/>
  <c r="Q26" i="2"/>
  <c r="Q29" i="2"/>
  <c r="Q46" i="2"/>
  <c r="Q5" i="2"/>
  <c r="Q33" i="2"/>
  <c r="Q35" i="2"/>
  <c r="Q43" i="2"/>
  <c r="Q37" i="2"/>
  <c r="Q2" i="2"/>
  <c r="Q7" i="2"/>
  <c r="O38" i="2"/>
  <c r="O6" i="2"/>
  <c r="O16" i="2"/>
  <c r="O24" i="2"/>
  <c r="O42" i="2"/>
  <c r="O12" i="2"/>
  <c r="O3" i="2"/>
  <c r="O22" i="2"/>
  <c r="O41" i="2"/>
  <c r="O34" i="2"/>
  <c r="O32" i="2"/>
  <c r="O44" i="2"/>
  <c r="O31" i="2"/>
  <c r="O19" i="2"/>
  <c r="O45" i="2"/>
  <c r="O9" i="2"/>
  <c r="O11" i="2"/>
  <c r="O13" i="2"/>
  <c r="O26" i="2"/>
  <c r="O29" i="2"/>
  <c r="O46" i="2"/>
  <c r="O5" i="2"/>
  <c r="O33" i="2"/>
  <c r="O35" i="2"/>
  <c r="O43" i="2"/>
  <c r="O37" i="2"/>
  <c r="O2" i="2"/>
  <c r="O7" i="2"/>
  <c r="E38" i="2"/>
  <c r="E6" i="2"/>
  <c r="E16" i="2"/>
  <c r="E24" i="2"/>
  <c r="E42" i="2"/>
  <c r="E12" i="2"/>
  <c r="E3" i="2"/>
  <c r="E22" i="2"/>
  <c r="E41" i="2"/>
  <c r="E34" i="2"/>
  <c r="E32" i="2"/>
  <c r="E44" i="2"/>
  <c r="E31" i="2"/>
  <c r="E19" i="2"/>
  <c r="E45" i="2"/>
  <c r="E9" i="2"/>
  <c r="E11" i="2"/>
  <c r="E13" i="2"/>
  <c r="E26" i="2"/>
  <c r="E29" i="2"/>
  <c r="E46" i="2"/>
  <c r="E5" i="2"/>
  <c r="E33" i="2"/>
  <c r="E35" i="2"/>
  <c r="E43" i="2"/>
  <c r="E37" i="2"/>
  <c r="E2" i="2"/>
  <c r="E7" i="2"/>
</calcChain>
</file>

<file path=xl/sharedStrings.xml><?xml version="1.0" encoding="utf-8"?>
<sst xmlns="http://schemas.openxmlformats.org/spreadsheetml/2006/main" count="523" uniqueCount="327">
  <si>
    <t>Event</t>
  </si>
  <si>
    <t>Focus Keyphrase</t>
  </si>
  <si>
    <t>Zip code</t>
  </si>
  <si>
    <t>Event location</t>
  </si>
  <si>
    <t>Registration email/URL</t>
  </si>
  <si>
    <t>Start date</t>
  </si>
  <si>
    <t>End date</t>
  </si>
  <si>
    <t>Event category</t>
  </si>
  <si>
    <t>Event type</t>
  </si>
  <si>
    <t>Event thumbnail</t>
  </si>
  <si>
    <t>Banner name
(in folder, to upload)</t>
  </si>
  <si>
    <t>Family fun</t>
  </si>
  <si>
    <t>Title</t>
  </si>
  <si>
    <t>Top Box</t>
  </si>
  <si>
    <t>Meta Description 
(160 max words)</t>
  </si>
  <si>
    <t>Cell count</t>
  </si>
  <si>
    <t>Event category
(only 1)</t>
  </si>
  <si>
    <t>Family fun, date night, flying solo, group</t>
  </si>
  <si>
    <t>Museum</t>
  </si>
  <si>
    <t>Museums</t>
  </si>
  <si>
    <t>Bowers  - Santa Ana</t>
  </si>
  <si>
    <t>Heritage museum of Orange - Santa Ana</t>
  </si>
  <si>
    <t>Pretend City Children's museum - Irvine</t>
  </si>
  <si>
    <t>Mission SJC</t>
  </si>
  <si>
    <t>Surfing heritage &amp; culture center</t>
  </si>
  <si>
    <t>fullerton museum</t>
  </si>
  <si>
    <t>Balboa island museum - newport</t>
  </si>
  <si>
    <t>The children's museum - la habra</t>
  </si>
  <si>
    <t>Lyons air museum - santa ana</t>
  </si>
  <si>
    <t>Stanley ranch museum - garden grove</t>
  </si>
  <si>
    <t>old orange county courthouse - santa ana</t>
  </si>
  <si>
    <t>heros hall museum - costa mesa</t>
  </si>
  <si>
    <t>Newland house museum - HB</t>
  </si>
  <si>
    <t>Museum of the republic of vietnam - Anaheim</t>
  </si>
  <si>
    <t>Tustin are historical society - Tustin</t>
  </si>
  <si>
    <t>Costa mesa historical society - Costa mesa</t>
  </si>
  <si>
    <t>Moulton museum - Laguna hills</t>
  </si>
  <si>
    <t>Museum of teaching &amp; learning - Fullerton</t>
  </si>
  <si>
    <t>Westminster museum - Westminster</t>
  </si>
  <si>
    <t>Bradford house - Placentia</t>
  </si>
  <si>
    <t>Olinda oil museum - Brea</t>
  </si>
  <si>
    <t>Richard Nixon birthplace - Yorba linda</t>
  </si>
  <si>
    <t>Susanna bixby bryant museum - Yorba Linda</t>
  </si>
  <si>
    <t>Red care museum - Seal</t>
  </si>
  <si>
    <t>Brea Museum and Heritage Center</t>
  </si>
  <si>
    <t>Casa Romantica</t>
  </si>
  <si>
    <t>Children's Museum at La Habra</t>
  </si>
  <si>
    <t>George Key Ranch Historic Park</t>
  </si>
  <si>
    <t>Heritage Hill Historic Park</t>
  </si>
  <si>
    <t>International Surfing Museum</t>
  </si>
  <si>
    <t>Kawasaki Museum</t>
  </si>
  <si>
    <t>Los Alamitos Museum</t>
  </si>
  <si>
    <t>Mother Colony House</t>
  </si>
  <si>
    <t>Muckenthaler Cultural Center</t>
  </si>
  <si>
    <t>Murphy-Smith Bungalow</t>
  </si>
  <si>
    <t>Santa Ana Fire Department Museum</t>
  </si>
  <si>
    <t>Whitaker-Jaynes House</t>
  </si>
  <si>
    <t>Dr. willella howe - santa ana</t>
  </si>
  <si>
    <t>Richard nixon library yorba linda</t>
  </si>
  <si>
    <t>Muzeo museum &amp; cultural - anaheim</t>
  </si>
  <si>
    <t>ExplorOcean</t>
  </si>
  <si>
    <t>https://en.wikipedia.org/wiki/Modjeska_House</t>
  </si>
  <si>
    <t>https://www.balboaislandmuseum.org/</t>
  </si>
  <si>
    <t>Balboa island</t>
  </si>
  <si>
    <t>210 Marine Ave, Newport Beach, CA</t>
  </si>
  <si>
    <t>Balboa Island Museum</t>
  </si>
  <si>
    <t>Casa</t>
  </si>
  <si>
    <t>The Balboa Island Museum Newport Beach was founded with the mission to document, preserve and promote the history and culture of Balboa Island, Newport Beach, and Orange County. Admission is FREE so that everyone can enjoy! It is the only historical museum devoted to collecting, conserving, and presenting this local history and culture.Featuring exhibits on the community traditions of surfing, fishing, The Wedge, and more. The museum delivers a unique educational experience for residents and visitors alike. In addition, the museum offers instructive presentations for children. The museum proudly supports the work of local artists, curating exclusive exhibitions and merchandise.</t>
  </si>
  <si>
    <t xml:space="preserve">The Balboa Island Museum was founded with the mission to document, preserve and promote the history and culture of Balboa Island, Newport Beach, and OC. </t>
  </si>
  <si>
    <t>Bowers Museum</t>
  </si>
  <si>
    <t>https://www.bowers.org/</t>
  </si>
  <si>
    <t>Bowers</t>
  </si>
  <si>
    <t>The Bowers Museum is an art museum located in Santa Ana, California. The museum's permanent collection includes more than 100,000 objects, and features notable strengths in the areas of pre-Columbian Mesoamerica, Native American art, the art of Asia, Africa, and Oceania, and California plein-air painting. </t>
  </si>
  <si>
    <t xml:space="preserve">2002 N Main St, Santa Ana, CA </t>
  </si>
  <si>
    <t>The Bowers Museum is an art museum located in Santa Ana, California. The museum's permanent collection includes more than 100,000 objects.</t>
  </si>
  <si>
    <t>Bradford House Museum</t>
  </si>
  <si>
    <t>Costa Mesa Historical Society Museum</t>
  </si>
  <si>
    <t xml:space="preserve">136 E Palm Cir, Placentia, CA </t>
  </si>
  <si>
    <t>Bradford</t>
  </si>
  <si>
    <t>https://thebradfordhouse.org/</t>
  </si>
  <si>
    <t>Brea</t>
  </si>
  <si>
    <t xml:space="preserve">495 S Brea Blvd, Brea, CA </t>
  </si>
  <si>
    <t>https://breamuseum.org/</t>
  </si>
  <si>
    <t>Brea Museum &amp; Heritage Center</t>
  </si>
  <si>
    <t>The Museum is located in historic City Hall Park at Brea Boulevard and Elm Street. Admission is always free and parking is located behind the building. The Museum is open on Thursday &amp; Saturday from 12:00 to 4:00 pm.</t>
  </si>
  <si>
    <t xml:space="preserve">The Museum is located in historic City Hall Park at Brea Boulevard and Elm Street. Admission is always free and parking is located behind the building. </t>
  </si>
  <si>
    <t>https://www.casaromantica.org/</t>
  </si>
  <si>
    <t xml:space="preserve">415 Avenida Granada, San Clemente, CA </t>
  </si>
  <si>
    <r>
      <t>Casa Romantica Museum</t>
    </r>
    <r>
      <rPr>
        <sz val="8"/>
        <color rgb="FF202122"/>
        <rFont val="Arial"/>
        <family val="2"/>
      </rPr>
      <t>, officially known as the Casa Romantica Cultural Center and Gardens, is a historic building in </t>
    </r>
    <r>
      <rPr>
        <sz val="8"/>
        <color theme="1"/>
        <rFont val="Arial"/>
        <family val="2"/>
      </rPr>
      <t>San Clemente, California</t>
    </r>
    <r>
      <rPr>
        <sz val="8"/>
        <color rgb="FF202122"/>
        <rFont val="Arial"/>
        <family val="2"/>
      </rPr>
      <t>.</t>
    </r>
  </si>
  <si>
    <r>
      <t>Casa Romantica Museum</t>
    </r>
    <r>
      <rPr>
        <sz val="8"/>
        <color rgb="FF202122"/>
        <rFont val="Arial"/>
        <family val="2"/>
      </rPr>
      <t>, officially known as the Casa Romantica Cultural Center and Gardens, is a historic building in </t>
    </r>
    <r>
      <rPr>
        <sz val="8"/>
        <color theme="1"/>
        <rFont val="Arial"/>
        <family val="2"/>
      </rPr>
      <t>San Clemente, California</t>
    </r>
    <r>
      <rPr>
        <sz val="8"/>
        <color rgb="FF202122"/>
        <rFont val="Arial"/>
        <family val="2"/>
      </rPr>
      <t>. It was the home of </t>
    </r>
    <r>
      <rPr>
        <sz val="8"/>
        <color theme="1"/>
        <rFont val="Arial"/>
        <family val="2"/>
      </rPr>
      <t>Ole Hanson</t>
    </r>
    <r>
      <rPr>
        <sz val="8"/>
        <color rgb="FF202122"/>
        <rFont val="Arial"/>
        <family val="2"/>
      </rPr>
      <t> who co-founded the city of San Clemente. Casa Romantica was listed on the </t>
    </r>
    <r>
      <rPr>
        <sz val="8"/>
        <color theme="1"/>
        <rFont val="Arial"/>
        <family val="2"/>
      </rPr>
      <t>National Register of Historic Places</t>
    </r>
    <r>
      <rPr>
        <sz val="8"/>
        <color rgb="FF202122"/>
        <rFont val="Arial"/>
        <family val="2"/>
      </rPr>
      <t> on December 27, 1991.</t>
    </r>
  </si>
  <si>
    <t xml:space="preserve">Bradford House Museum, was a historic home of Albert Sumner Bradford, who founded Placentia by arranging for establishment of a water tank along the railway. </t>
  </si>
  <si>
    <t>The A. S. Bradford House Museum, also known as The Bradford House, is a historic home in Placentia, California. It was the home of Albert Sumner Bradford, who founded Placentia by arranging for establishment of a water tank along the railway. Homes and businesses within a one-mile radius could get water</t>
  </si>
  <si>
    <t xml:space="preserve">301 S Euclid St, La Habra, CA </t>
  </si>
  <si>
    <t>Childrens</t>
  </si>
  <si>
    <t>Casa Romantica Museum</t>
  </si>
  <si>
    <t>The Chidren's Museum has exhibits including a hand-carved carousel &amp; guided tour of a 1942 railroad car.</t>
  </si>
  <si>
    <t>https://www.lhcm.org/</t>
  </si>
  <si>
    <t>Dr. Willella Howe Museum</t>
  </si>
  <si>
    <t>1870 Anaheim Ave, Costa Mesa, CA</t>
  </si>
  <si>
    <t>Costa Mesa</t>
  </si>
  <si>
    <t>https://www.costamesahistory.org/visit/</t>
  </si>
  <si>
    <t>At the Costa Mesa Historical Society Museum you can learn about 5,000 years of history –from the first peoples to the City of the Arts – at our two museums in Costa Mesa.</t>
  </si>
  <si>
    <t>At the Costa Mesa Historical Society Museum you can learn about 5,000 years of history –from the first peoples to the City of the Arts.</t>
  </si>
  <si>
    <t xml:space="preserve">120 W Civic Center Dr, Santa Ana, CA </t>
  </si>
  <si>
    <t>Dr.</t>
  </si>
  <si>
    <t>https://www.santaanahistory.com/drhowewafflemuseum</t>
  </si>
  <si>
    <t xml:space="preserve">600 E Bay Ave. Newport Beach, CA </t>
  </si>
  <si>
    <t>https://www.californiabeaches.com/attraction/explorocean/</t>
  </si>
  <si>
    <t>Explor</t>
  </si>
  <si>
    <t>ExplorOcean Museum</t>
  </si>
  <si>
    <t>George Key Ranch Historic Park Museum</t>
  </si>
  <si>
    <t>Heritage Hill Historic Park Museum</t>
  </si>
  <si>
    <t>The Dr. Willella Howe House Museum is listed on the National Register of Historic Places, as a California Historic Point of Interest and as a landmark building on the City of Santa Ana's Historic Register.</t>
  </si>
  <si>
    <t>The Dr. Willella Howe House Museum is listed on the National Register of Historic Places, as a California Historic Point of Interest and as a landmark building.</t>
  </si>
  <si>
    <t xml:space="preserve">ExplorOcean Museum in the Newport Beach area is one of the many attractions, parks, and things to do in California. </t>
  </si>
  <si>
    <t xml:space="preserve">301 N Pomona Ave, Fullerton, CA </t>
  </si>
  <si>
    <t>Fullerton</t>
  </si>
  <si>
    <t>https://www.fullertonmuseum.com/exhibits</t>
  </si>
  <si>
    <t>The Fullerton Museum has educational space showcasing diverse exhibitions &amp; programs in history, science, art &amp; humanities.</t>
  </si>
  <si>
    <t>Fullerton Museum</t>
  </si>
  <si>
    <t>Fullerton train museum</t>
  </si>
  <si>
    <t xml:space="preserve">200 E Santa Fe Ave, Fullerton, CA </t>
  </si>
  <si>
    <t>Fullerton Train</t>
  </si>
  <si>
    <t>https://www.fullertontrainmuseum.org/</t>
  </si>
  <si>
    <t>The Fullerton Train Museum has historic train cars &amp; cabooses with period decor, open the first &amp; third Saturday of every month.</t>
  </si>
  <si>
    <t>Fullerton Train Museum</t>
  </si>
  <si>
    <t>The George Key Ranch Historic District, also known simply as Key Ranch, is a historic ranch and Victorian ranch house located in Placentia, Orange County, California Two acres of the former ranch is now the George Key Ranch Historic Park operated by Orange County Parks. </t>
  </si>
  <si>
    <t>The George Key Ranch Historic District, also known simply as Key Ranch, is a historic ranch and Victorian ranch house located in Placentia, Orange County, CA.</t>
  </si>
  <si>
    <t xml:space="preserve">625 W Bastanchury Rd, Placentia, CA </t>
  </si>
  <si>
    <t>George</t>
  </si>
  <si>
    <t>https://www.ocparks.com/keyranch</t>
  </si>
  <si>
    <t>Heritage Hill Historic Park Museum is a petite park featuring heritage landscaping &amp; guided tours of 4 restored buildings erected 1863-1908.</t>
  </si>
  <si>
    <t xml:space="preserve">25151 Serrano Rd, Lake Forest, CA </t>
  </si>
  <si>
    <t>Heritage Hill</t>
  </si>
  <si>
    <t>https://ocparks.com/historic-sites/heritage-hill-historical-park</t>
  </si>
  <si>
    <t>Heritage Museum of Orange County</t>
  </si>
  <si>
    <t xml:space="preserve">3101 W Harvard St, Santa Ana, CA </t>
  </si>
  <si>
    <t>Heritage Museum</t>
  </si>
  <si>
    <t>https://heritagemuseumoc.org/</t>
  </si>
  <si>
    <t>Heritage Museum of Orange County is an attraction featuring restored homes &amp; buildings from the 1890s set amid extensive floral gardens.</t>
  </si>
  <si>
    <t xml:space="preserve">88 Fair Dr, Costa Mesa, CA </t>
  </si>
  <si>
    <t>Heros Hall Museum</t>
  </si>
  <si>
    <t>International</t>
  </si>
  <si>
    <t>Heros</t>
  </si>
  <si>
    <t>https://ocfair.com/heroes-hall/</t>
  </si>
  <si>
    <t>Heros Hall Museum is a free, permanent, year-round museum and education center with exhibitions, performances and educational programs that celebrate the legacy of Orange County veterans and others who have served our nation. The two-story exhibition space will rotate themes semi-annually with each focusing on an aspect of the personal stories and experiences of veterans</t>
  </si>
  <si>
    <t>Heros Hall Museum is a free, permanent, year-round museum and education center with exhibitions, performances and educational programs.</t>
  </si>
  <si>
    <t>The International Surfing Museum is a non-profit, 501 museum in Huntington Beach, Orange County, California. The museum's goal is to preserve the history of the surfing culture throughout the globe. It is dedicated to Duke Kahanamoku, who is generally regarded as the person who popularized the modern sport of surfing.</t>
  </si>
  <si>
    <t xml:space="preserve">The International Surfing Museum is to preserve the history of the surfing culture throughout the globe. </t>
  </si>
  <si>
    <t xml:space="preserve">411 Olive Ave, Huntington Beach, CA </t>
  </si>
  <si>
    <t>https://www.huntingtonbeachsurfingmuseum.org/</t>
  </si>
  <si>
    <t>Irvine Historical Society Museum</t>
  </si>
  <si>
    <t xml:space="preserve">Irvine historical society </t>
  </si>
  <si>
    <t>https://www.cityofirvine.org/news-media/news-article/irvine-historical-museum</t>
  </si>
  <si>
    <t>Irvine</t>
  </si>
  <si>
    <t xml:space="preserve">5 San Joaquin, Irvine, CA </t>
  </si>
  <si>
    <r>
      <t>Located in the San Joaquin Ranch House, the museum was </t>
    </r>
    <r>
      <rPr>
        <sz val="8"/>
        <color rgb="FF040C28"/>
        <rFont val="Arial"/>
        <family val="2"/>
      </rPr>
      <t>commissioned by James Irvine in 1868</t>
    </r>
    <r>
      <rPr>
        <sz val="8"/>
        <color rgb="FF4D5156"/>
        <rFont val="Arial"/>
        <family val="2"/>
      </rPr>
      <t> and considered the oldest standing structure within the original boundaries of Irvine Ranch. Built for $1,300, the home was the first wooden house to be erected between Anaheim and San Diego.</t>
    </r>
  </si>
  <si>
    <r>
      <t>Irvine Historical Society Museum was </t>
    </r>
    <r>
      <rPr>
        <sz val="8"/>
        <color rgb="FF040C28"/>
        <rFont val="Arial"/>
        <family val="2"/>
      </rPr>
      <t>commissioned by James Irvine in 1868</t>
    </r>
    <r>
      <rPr>
        <sz val="8"/>
        <color rgb="FF4D5156"/>
        <rFont val="Arial"/>
        <family val="2"/>
      </rPr>
      <t xml:space="preserve"> &amp; considered the oldest standing structure within the original boundaries of Irvine. </t>
    </r>
  </si>
  <si>
    <t>https://www.motorcyclistonline.com/kawasaki-motors-heritage-hall-motorcycle-museum/</t>
  </si>
  <si>
    <t>Kawasaki</t>
  </si>
  <si>
    <t>The Kawasaki Museum is the 60-by-40-foot room is located just off the main lobby of Kawasaki Motors Corp.'s Irvine, California, headquarters. But if the double doors were closed, you'd walk right by and never get a hint of the two-wheeled treasure inside.</t>
  </si>
  <si>
    <t>The Kawasaki Museum is the 60-by-40-foot room is located just off the main lobby of Kawasaki Motors Corp.'s Irvine, California, headquarters.</t>
  </si>
  <si>
    <t xml:space="preserve">26972 Burbank, Foothill Ranch, CA </t>
  </si>
  <si>
    <t xml:space="preserve">11062 Los Alamitos Blvd, Los Alamitos, CA </t>
  </si>
  <si>
    <t>Los</t>
  </si>
  <si>
    <t>http://www.losalamitosmuseum.org/</t>
  </si>
  <si>
    <t>The mission of the Los Alamitos Museum Association, Inc. is to collect, advance, preserve and exhibit cultural, historical, and other related materials so that we and our posterity may receive the full benefit of our city’s history.</t>
  </si>
  <si>
    <t>The mission of the Los Alamitos Museum Association, Inc. is to collect, advance, preserve and exhibit cultural, historical, and other related materials.</t>
  </si>
  <si>
    <t xml:space="preserve">19300 Ike Jones Rd, Santa Ana, CA </t>
  </si>
  <si>
    <t>The Lyon Air Museum is an aerospace museum located on the west side of the John Wayne Airport in Santa Ana, California, United States. The museum features military aircraft, rare automobiles, military vehicles and motorcycles, and related memorabilia, with an emphasis on World War II.</t>
  </si>
  <si>
    <t>Lyon Air Museum</t>
  </si>
  <si>
    <t xml:space="preserve">The Lyon Air Museum is an aerospace museum located on the west side of the John Wayne Airport in Santa Ana, California, United States. </t>
  </si>
  <si>
    <t>Marconi</t>
  </si>
  <si>
    <t>Marconi auto - tustin</t>
  </si>
  <si>
    <t>Marconi Auto Museum</t>
  </si>
  <si>
    <t>The Marconi Auto Museum is a nonprofit museum exhibiting luxury, rare &amp; historic cars donates admission fees to charity.</t>
  </si>
  <si>
    <t>1302 Industrial Dr, Tustin, CA</t>
  </si>
  <si>
    <t>Lyons</t>
  </si>
  <si>
    <t>https://lyonairmuseum.org/</t>
  </si>
  <si>
    <t>https://marconimuseum.org/</t>
  </si>
  <si>
    <t>Mission San Juan Capistrano Museum is a Spanish mission in San Juan Capistrano, Orange County, California. Founded November 1, 1776 in colonial Las Californias by Spanish Catholic missionaries of the Franciscan Order, it was named for Saint John of Capistrano</t>
  </si>
  <si>
    <t>Mission San Juan Capistrano Museum</t>
  </si>
  <si>
    <t xml:space="preserve">Mission San Juan Capistrano Museum is a Spanish mission in San Juan Capistrano, Orange County, California. </t>
  </si>
  <si>
    <t>Mission</t>
  </si>
  <si>
    <t xml:space="preserve">26801 Old Mission Rd, San Juan Capistrano, CA </t>
  </si>
  <si>
    <t>https://www.missionsjc.com/</t>
  </si>
  <si>
    <t>Arden Helena Modjeska House</t>
  </si>
  <si>
    <t>Arden</t>
  </si>
  <si>
    <t xml:space="preserve">29042 Modjeska Canyon Rd, Silverado, CA </t>
  </si>
  <si>
    <t>Arden Helena Modjeska House Museum</t>
  </si>
  <si>
    <t>Mother Colony House Museum</t>
  </si>
  <si>
    <t>The Arden Helena Modjeska House Museum is tucked away amidst a live oak grove on the banks of Santiago Creek in Modjeska Canyon lies the century-old home of world renowned actress Madame Helena Modjeska. Named for the grounds’ resemblance to the Forest of Arden in the Shakespearean play, “As You Like It,” Arden is designated a National Historic Landmark.</t>
  </si>
  <si>
    <t xml:space="preserve">Arden Helena Modjeska House Museum is tucked away amidst a live oak grove on the banks of Santiago Creek lies the century-old home of world renowned actress. </t>
  </si>
  <si>
    <t>Mother</t>
  </si>
  <si>
    <t xml:space="preserve">400 N West St, Anaheim, CA </t>
  </si>
  <si>
    <t>https://www.anaheim.net/facilities/facility/details/Mother-Colony-house-52</t>
  </si>
  <si>
    <t>The Mother Colony House Museum was one of the first buildings constructed in Anaheim, which had its beginnings in 1857. Classified as an American Territorial style cottage, it is built of redwood and consists of 3 small rooms. The single gable roof, with its decorative roof crest, has a flaring eave which fully covers the front porch. The addition at the rear was added in the 1870s.</t>
  </si>
  <si>
    <t xml:space="preserve">The Mother Colony House Museum was one of the first buildings constructed in Anaheim, which had its beginnings in 1857. </t>
  </si>
  <si>
    <t xml:space="preserve">25256 Cabot Rd, Laguna Hills, CA </t>
  </si>
  <si>
    <t>Moulton</t>
  </si>
  <si>
    <t>Moulton Museum</t>
  </si>
  <si>
    <t>https://moultonmuseum.org/</t>
  </si>
  <si>
    <t>Moulton Museum works to keep the history of Orange County and its ranching era alive. The museum actively archives, restores, and preserves Orange County historical artifacts.</t>
  </si>
  <si>
    <t>Moulton Museum works to keep the history of OC and its ranching era alive. The museum actively archives, restores &amp; preserves OC historical artifacts.</t>
  </si>
  <si>
    <t>1201 W Malvern Ave, Fullerton, CA</t>
  </si>
  <si>
    <t>Muck</t>
  </si>
  <si>
    <t>The Muckenthaler House, renamed the Muckenthaler Cultural Center, is a large Spanish Colonial Revival style residence built in Fullerton, California, in 1925</t>
  </si>
  <si>
    <t>Muckenthaler House Museum</t>
  </si>
  <si>
    <t>https://themuck.org/</t>
  </si>
  <si>
    <t>Murphy Smith Bungalow Museum</t>
  </si>
  <si>
    <t>Murphy</t>
  </si>
  <si>
    <t>https://lagunabeachhistory.org/visit-our-bungalow</t>
  </si>
  <si>
    <t xml:space="preserve">278 Ocean Ave. Laguna Beach, CA </t>
  </si>
  <si>
    <t>Visit the Laguna Beach Historical Society at the Murphy Smith bungalow museum where volunteer docents will be happy to show you the memorabilia on display.</t>
  </si>
  <si>
    <t xml:space="preserve">1111 E Commonwealth Ave #C, Fullerton, CA </t>
  </si>
  <si>
    <t>Museum of Teaching</t>
  </si>
  <si>
    <t>https://www.motal.org/</t>
  </si>
  <si>
    <t>Museum of Teaching and Learning</t>
  </si>
  <si>
    <t xml:space="preserve">The Museum of Teaching and Learning (MOTAL) has established a record of award-winning and trustworthy exhibitions about topics in the field of education, filling a unique niche in the museum world. MOTAL creates mobile exhibitions to bring questions and answers about teaching and learning to the public. </t>
  </si>
  <si>
    <t>Museum of Teaching &amp; Learning has established a record of award-winning &amp; trustworthy exhibitions about topics in the field of education.</t>
  </si>
  <si>
    <t xml:space="preserve">9842 Bolsa Ave # 205, Westminster, CA </t>
  </si>
  <si>
    <t>Museum of the Republic</t>
  </si>
  <si>
    <t>http://museumrvn.com/</t>
  </si>
  <si>
    <t>Museum of the Republic of Vietnam</t>
  </si>
  <si>
    <t>The Museum of the Republic of Vietnam opened in the spring of 2016 in Westminster, California. It is the first and only museum in the world dedicated to the history of the Republic of Vietnam and its military. The museum is conveniently located in the heart of the largest community of the Vietnamese diaspora around the world - Little Saigon in Orange County. The mission of the museum is to honor veterans, preserve and study the history of the republic, and educate future generations. The museum exists as a community space open to the public where veterans and their families, students, educators, professionals, and anyone with an interest to discover more about the rich history of the Republic of Vietnam is welcome.  </t>
  </si>
  <si>
    <t xml:space="preserve">Museum of the Republic of Vietnam is the first &amp; only museum in the world dedicated to the history of the Republic of Vietnam and its military. </t>
  </si>
  <si>
    <t>Muzeo Museum &amp; Cultural Center</t>
  </si>
  <si>
    <t xml:space="preserve">241 S. Anaheim Blvd. Anaheim, CA </t>
  </si>
  <si>
    <t>Muzeo</t>
  </si>
  <si>
    <t>https://muzeo.org/</t>
  </si>
  <si>
    <r>
      <t>An innovative model for urban cultural centers, Muzeo Museum is a 25,000 square foot complex consisting of Anaheim’s historic Carnegie</t>
    </r>
    <r>
      <rPr>
        <sz val="9"/>
        <color rgb="FF999999"/>
        <rFont val="Georgia"/>
        <family val="1"/>
      </rPr>
      <t> </t>
    </r>
    <r>
      <rPr>
        <sz val="9"/>
        <color rgb="FF000000"/>
        <rFont val="Georgia"/>
        <family val="1"/>
      </rPr>
      <t>Library and a state of the art, versatile gallery space opened in 2007.</t>
    </r>
  </si>
  <si>
    <r>
      <t>Muzeo Museum is a 25,000 square foot complex consisting of Anaheim’s historic Carnegie</t>
    </r>
    <r>
      <rPr>
        <sz val="9"/>
        <color rgb="FF999999"/>
        <rFont val="Georgia"/>
        <family val="1"/>
      </rPr>
      <t> </t>
    </r>
    <r>
      <rPr>
        <sz val="9"/>
        <color rgb="FF000000"/>
        <rFont val="Georgia"/>
        <family val="1"/>
      </rPr>
      <t>Library and a state of the art, versatile gallery space opened in 2007.</t>
    </r>
  </si>
  <si>
    <t>Newland House Museum</t>
  </si>
  <si>
    <t>Olinda Oil Museum</t>
  </si>
  <si>
    <t>Pretend City Children's Museum</t>
  </si>
  <si>
    <t>Newland</t>
  </si>
  <si>
    <t xml:space="preserve">19820 Beach Blvd, Huntington Beach, CA </t>
  </si>
  <si>
    <t>Newland House Museum is an 1898 farmhouse in a midwestern adaptation of a Queen Anne architectural style in Huntington Beach, California, United States. Listed on the National Register of Historic Places, it is one of 123 historic places and districts on the National Register of Historic Places in Orange County, California.</t>
  </si>
  <si>
    <t xml:space="preserve">Newland House Museum is an 1898 farmhouse in a midwestern adaptation of a Queen Anne architectural style in Huntington Beach, California, United States. </t>
  </si>
  <si>
    <t>https://www.hbhistory.org/newland-house-museum</t>
  </si>
  <si>
    <t>ExplorOcean Museum in the Newport Beach area is one of the many attractions, parks, and things to do in California.</t>
  </si>
  <si>
    <t>Ocean institute - DP</t>
  </si>
  <si>
    <t>Ocean Institude Museum</t>
  </si>
  <si>
    <t>The Ocean Institute Museum is an ocean education organization located in Dana Point, California. Founded as the Orange County Marine Institute in 1977, it offers ocean science and maritime history programs for K–12 students and their teachers</t>
  </si>
  <si>
    <t>The Ocean Institute Museum is an ocean education organization located in Dana Point, California. Founded as the Orange County Marine Institute in 1977.</t>
  </si>
  <si>
    <t>24200 Dana Point Harbor Dr, Dana Point, CA</t>
  </si>
  <si>
    <t>Ocean</t>
  </si>
  <si>
    <t>https://oceaninstitute.org/</t>
  </si>
  <si>
    <t>Old Orange County Courthouse Museum</t>
  </si>
  <si>
    <t>Richard Nixon Birthplace Museum</t>
  </si>
  <si>
    <t>Old</t>
  </si>
  <si>
    <t xml:space="preserve">211 W Santa Ana Blvd, Santa Ana, CA </t>
  </si>
  <si>
    <t>https://www.ocparks.com/historic-sites/old-orange-county-courthouse</t>
  </si>
  <si>
    <t>The Old Orange County Courthouse Museum, at one point also known as the Santa Ana County Courthouse, is a Romanesque Revival building that was opened in September 1901 and is located in Santa Ana's Historic Downtown District on Civic Center and Broadway streets</t>
  </si>
  <si>
    <t>Old Orange County Courthouse Museum, at one point also known as the Santa Ana County Courthouse, is a Romanesque building that was opened in September 1901.</t>
  </si>
  <si>
    <t>Stanley Ranch Museum</t>
  </si>
  <si>
    <t>Susanna Bixby Bryant Museum</t>
  </si>
  <si>
    <t>https://www.ci.brea.ca.us/438/Olinda-Oil-Museum-Trail</t>
  </si>
  <si>
    <t>Olinda</t>
  </si>
  <si>
    <t>Currently this park, located off of Santa Fe Road in the Olinda Ranch neighborhood, features the original Olinda Oil Well Number One, the former field office building, a jackline pump, records vault, and assorted antique oil operation tools. The park also serves as entry point for a loop trail open to the public.</t>
  </si>
  <si>
    <t xml:space="preserve">4025 E Santa Fe Rd, Brea, CA </t>
  </si>
  <si>
    <t xml:space="preserve">Olinda Oil Museum, features the original Olinda Oil Well #1, the former field office building, a jackline pump &amp; assorted antique oil operation tools. </t>
  </si>
  <si>
    <t xml:space="preserve">29 Hubble, Irvine, CA </t>
  </si>
  <si>
    <t>Pretend</t>
  </si>
  <si>
    <t>Pretend City Children’s Museum is a nonprofit children’s museum located in Irvine, California. The museum encompasses 17 interactive exhibits that simulate a small interconnected city</t>
  </si>
  <si>
    <t>Pretend City Children’s Museum is a nonprofit children’s museum located in Irvine, California. The museum encompasses 17 interactive exhibits.</t>
  </si>
  <si>
    <t>https://www.pretendcity.org/</t>
  </si>
  <si>
    <t>The Children's Museum</t>
  </si>
  <si>
    <t>The Red Car Museum, also known as the Pacific Electric Museum, was a museum in Old Town Seal Beach, California. It operated in Pacific Electric car #1734 and displayed artifacts relating to the company and local history books.</t>
  </si>
  <si>
    <t>Red Car Museum</t>
  </si>
  <si>
    <t>The Red Car Museum displayed artifacts relating to the company and local history books.</t>
  </si>
  <si>
    <t>800-840 Electric Ave, Seal Beach, CA</t>
  </si>
  <si>
    <t>Red</t>
  </si>
  <si>
    <t>http://www.seecalifornia.com/trains/seal-beach-red-car.html</t>
  </si>
  <si>
    <t>https://www.nixonlibrary.gov/visit/visit-museum</t>
  </si>
  <si>
    <t>https://www.nixonfoundation.org/</t>
  </si>
  <si>
    <t>Richard birthplace</t>
  </si>
  <si>
    <t>Richard museum</t>
  </si>
  <si>
    <t>The Richard Nixon Birthplace is the birthplace and early childhood home of Richard Nixon, the 37th president of the United States. It is located on the grounds of the Richard Nixon Presidential Library and Museum in Yorba Linda, California, and serves as a historic house museum</t>
  </si>
  <si>
    <t>The Richard Nixon Birthplace is the birthplace and early childhood home of Richard Nixon, the 37th president of the United States.</t>
  </si>
  <si>
    <t xml:space="preserve">18001 Yorba Linda Blvd, Yorba Linda, CA </t>
  </si>
  <si>
    <t>Richard Nixon Library Museum</t>
  </si>
  <si>
    <t>Santa Ana Fire Museum</t>
  </si>
  <si>
    <t>The Richard Nixon Presidential Library and Museum is the presidential library and burial site of Richard Milhous Nixon, the 37th president of the United States, and his wife Pat Nixon</t>
  </si>
  <si>
    <t>Richard Nixon Presidential Library &amp; Museum is the presidential library &amp; burial site of Richard Milhous Nixon, the 37th president of the United States.</t>
  </si>
  <si>
    <t>https://newsantaana.com/tour-the-santa-ana-fire-museum-today-from-noon-to-4-pm/</t>
  </si>
  <si>
    <t>Santa</t>
  </si>
  <si>
    <t> 120 W Walnut St Santa Ana, California</t>
  </si>
  <si>
    <t>Santa Ana Fire Museum is housed in a working fire station, the public can view vintage equipment and memorabilia dating back to the late 1800s, alongside state of the art contemporary fire trucks and equipment. Hands-off the modern items (and don’t be surprised if a call comes in while you are there!) but don’t miss a hands-on experience with the fully restored 1921 Seagrave fire engine and specially designated items along your guided tour.</t>
  </si>
  <si>
    <t>Santa Ana Fire Museum is housed in a working fire station, the public can view vintage equipment and memorabilia dating back to the late 1800s.</t>
  </si>
  <si>
    <t>Whitaker</t>
  </si>
  <si>
    <t xml:space="preserve">12174 S Euclid St, Garden Grove, CA </t>
  </si>
  <si>
    <t>Stanley</t>
  </si>
  <si>
    <t>https://gardengrovehistoricalsociety.org/</t>
  </si>
  <si>
    <t>Garden Grove Historical Society owns and maintains the 2-acre Stanley Ranch Museum and Historical Village. There are 17 historic original and replica buildings, some dating back to the 19th century. The Ware-Stanley House, built in 1891, is the main feature. The Disney Garage, Disney’s first animation workshop in 1923, is filled with a collection of Disney memorabilia. Other buildings include the city’s first lumber business, post office, barber and shoe-repair shop and the second school house. The Fire Station, a replica of the first Garden Grove station, houses a magnificent 1926 La France fire truck. The Schnitger House is a California bungalow built in 1916. It is an Orange County Historical Site.</t>
  </si>
  <si>
    <t xml:space="preserve">The 2-acre Stanley Ranch Museum and Historical Village. There are 17 historic original and replica buildings, some dating back to the 19th century. </t>
  </si>
  <si>
    <t xml:space="preserve">110 Calle Iglesia, San Clemente, CA </t>
  </si>
  <si>
    <t>Surfing</t>
  </si>
  <si>
    <t>https://www.shacc.org/</t>
  </si>
  <si>
    <t>Surfing Heritage &amp; Culture Center Museum</t>
  </si>
  <si>
    <t>Surfing Heritage Museum houses the world’s most important and authoritative archive of surfing artifacts, surfboards, memorabilia, photography, video, periodical and scholarly works.Our collection comes from all corners of the globe, and reflects the spirit of exploration and adventure that is core to surfing’s ethos. Our educational programs and events focus on bringing surfing’s rich history and stories to the world. And through it all we celebrate what it means to be a surfer, and why surfing has captured hearts and minds since the first time someone rode a wave.</t>
  </si>
  <si>
    <t>Surfing Heritage Museum houses the world’s most important &amp; authoritative archive of surfing artifacts, surfboards, memorabilia, photography, video and more!</t>
  </si>
  <si>
    <t xml:space="preserve">5700 Susanna Bryant Dr, Yorba Linda, CA </t>
  </si>
  <si>
    <t>Susanna</t>
  </si>
  <si>
    <t>https://www.yorbalindaca.gov/Facilities/Facility/Details/Susanna-Bixby-Bryant-Museum-65</t>
  </si>
  <si>
    <t>The Susanna Bixby Bryant Museum consists of 2500 square feet of vintage room furnishings, from the late 1800s to 1930, including five museum rooms covering the history of the botanic garden, ranching, citrus, water wars, Cajon Canal/zanjeros, bee industry, Yorba family artifacts and mementos including textiles, Argentine gaucho exhibit, baby mastodon jaws, Yorba Linda Indians artifacts, transportation in the area at the time, the history of Yorba to Yorba Linda, kitchen primitives, mini medical museum, surname, subject, locality indices.</t>
  </si>
  <si>
    <t>Susanna Bixby Bryant Museum consists of 2500 square feet of vintage room furnishings, from the late 1800s to 1930, including five museum rooms and more!</t>
  </si>
  <si>
    <t>The childrens</t>
  </si>
  <si>
    <t xml:space="preserve">301 S. Euclid Street La Habra, CA </t>
  </si>
  <si>
    <t>The Children's Museum at La Habra annually provides 95,000 children, their parents and teachers with 10,000 square feet of hands-on exhibits about the arts, sciences, other cultures and everyday life. Through the power of play, children are able to increase their sensory/motor interaction, art, science math, English literacy, creativity and analytical skills. The Museum also provides outreach activities to disadvantaged children that include free school tours and classroom visits, community festivals, family workshops and educational programs - all designed to enable children to learn through exploration, interaction and play!</t>
  </si>
  <si>
    <t>Children's Museum annually provides 95,000 children, with 10,000 square feet of hands-on exhibits about the arts, sciences, other cultures &amp; everyday life.</t>
  </si>
  <si>
    <t>Tustin History Museum</t>
  </si>
  <si>
    <t xml:space="preserve">395 El Camino Real, Tustin, CA </t>
  </si>
  <si>
    <t>Tustin</t>
  </si>
  <si>
    <t>https://tustinhistory.com/</t>
  </si>
  <si>
    <t>The Tustin Area Historical Society was founded in 1976 for the purpose of preserving the rich and colorful history of our local area</t>
  </si>
  <si>
    <t>Westminister Museum</t>
  </si>
  <si>
    <t>Westminster Museum is a historical museum in Westminster, California located in Blakey Historical Park. It contains three historic buildings, the McCoy-Hare House, the Midway City Women's Club Building, and Warne Farmhouse. It is managed by the Westminster Historical Society.</t>
  </si>
  <si>
    <t xml:space="preserve">Westminster Museum is a historical museum in Westminster, California located in Blakey Historical Park. </t>
  </si>
  <si>
    <t xml:space="preserve">8612 Westminster Blvd., Westminster, CA </t>
  </si>
  <si>
    <t>Westminster</t>
  </si>
  <si>
    <t>http://www.seecalifornia.com/museums/westminster-museum.html</t>
  </si>
  <si>
    <t>Whitaker Jaynes House Museum</t>
  </si>
  <si>
    <t xml:space="preserve">6631 Beach Blvd, Buena Park, CA </t>
  </si>
  <si>
    <t xml:space="preserve">The Whitaker-Jaynes House is the cornerstone of an historical park in Buena Park managed by the Buena Park Historical Society. Built in 1897, the house was the family home of Andrew Whitaker, brother of city founder James Whitaker. After Andrew died in 1903, his wife sold the home to the Jaynes family which lived in the house until 1965. The Bacon House was built in 1884 and passed through several hands before James Bacon, developer of the Bacon Avocado, was born there. </t>
  </si>
  <si>
    <t xml:space="preserve">The Whitaker-Jaynes House Museum is the cornerstone of an historical park in Buena Park managed by the Buena Park Historical Society. </t>
  </si>
  <si>
    <t>https://www.buenapark.com/residents/about_buena_park/history.php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</si>
</sst>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8"/>
      <color rgb="FF202122"/>
      <name val="Arial"/>
      <family val="2"/>
    </font>
    <font>
      <sz val="8"/>
      <color theme="1"/>
      <name val="Arial"/>
      <family val="2"/>
    </font>
    <font>
      <sz val="14"/>
      <color theme="1"/>
      <name val="Aptos Narrow"/>
      <family val="2"/>
      <scheme val="minor"/>
    </font>
    <font>
      <sz val="14"/>
      <color rgb="FF202122"/>
      <name val="Aptos Narrow"/>
      <family val="2"/>
      <scheme val="minor"/>
    </font>
    <font>
      <sz val="9"/>
      <color rgb="FF000000"/>
      <name val="Open_sansregular"/>
    </font>
    <font>
      <sz val="8"/>
      <color rgb="FF4D5156"/>
      <name val="Arial"/>
      <family val="2"/>
    </font>
    <font>
      <sz val="8"/>
      <color rgb="FF040C28"/>
      <name val="Arial"/>
      <family val="2"/>
    </font>
    <font>
      <sz val="9"/>
      <color rgb="FF000000"/>
      <name val="Georgia"/>
      <family val="1"/>
    </font>
    <font>
      <sz val="9"/>
      <color rgb="FF999999"/>
      <name val="Georgia"/>
      <family val="1"/>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3"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2" borderId="1" xfId="0" applyFill="1" applyBorder="1"/>
    <xf numFmtId="14" fontId="2" fillId="4" borderId="1" xfId="0" applyNumberFormat="1" applyFont="1" applyFill="1" applyBorder="1"/>
    <xf numFmtId="0" fontId="0" fillId="4" borderId="0" xfId="0" applyFill="1"/>
    <xf numFmtId="0" fontId="1" fillId="4" borderId="1" xfId="0" applyFont="1" applyFill="1" applyBorder="1" applyAlignment="1">
      <alignment horizontal="center"/>
    </xf>
    <xf numFmtId="0" fontId="0" fillId="2" borderId="0" xfId="0" applyFill="1"/>
    <xf numFmtId="0" fontId="2" fillId="2" borderId="2" xfId="0" applyFont="1" applyFill="1" applyBorder="1" applyAlignment="1">
      <alignment wrapText="1"/>
    </xf>
    <xf numFmtId="0" fontId="0" fillId="0" borderId="1" xfId="0" applyBorder="1"/>
    <xf numFmtId="0" fontId="0" fillId="4" borderId="1" xfId="0" applyFill="1" applyBorder="1"/>
    <xf numFmtId="0" fontId="6" fillId="2" borderId="1" xfId="0" applyFont="1" applyFill="1" applyBorder="1"/>
    <xf numFmtId="0" fontId="6" fillId="2" borderId="1" xfId="0" applyFont="1" applyFill="1" applyBorder="1" applyAlignment="1">
      <alignment wrapText="1"/>
    </xf>
    <xf numFmtId="0" fontId="8" fillId="2" borderId="1" xfId="0" applyFont="1" applyFill="1" applyBorder="1" applyAlignment="1">
      <alignment wrapText="1"/>
    </xf>
    <xf numFmtId="14" fontId="2" fillId="2" borderId="1" xfId="0" applyNumberFormat="1" applyFont="1" applyFill="1" applyBorder="1"/>
    <xf numFmtId="0" fontId="7"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50"/>
  <sheetViews>
    <sheetView tabSelected="1" zoomScale="80" zoomScaleNormal="80" workbookViewId="0">
      <selection activeCell="A2" sqref="A2"/>
    </sheetView>
  </sheetViews>
  <sheetFormatPr defaultRowHeight="14.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1.81640625" style="10" customWidth="1"/>
    <col min="12" max="12" width="11.26953125" style="10"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c r="A1" s="1" t="s">
        <v>0</v>
      </c>
      <c r="B1" s="1" t="s">
        <v>12</v>
      </c>
      <c r="C1" s="1" t="s">
        <v>13</v>
      </c>
      <c r="D1" s="4" t="s">
        <v>14</v>
      </c>
      <c r="E1" s="5" t="s">
        <v>15</v>
      </c>
      <c r="F1" s="1" t="s">
        <v>1</v>
      </c>
      <c r="G1" s="1" t="s">
        <v>2</v>
      </c>
      <c r="H1" s="1" t="s">
        <v>3</v>
      </c>
      <c r="I1" s="4" t="s">
        <v>10</v>
      </c>
      <c r="J1" s="1" t="s">
        <v>4</v>
      </c>
      <c r="K1" s="11" t="s">
        <v>5</v>
      </c>
      <c r="L1" s="11" t="s">
        <v>6</v>
      </c>
      <c r="M1" s="1" t="s">
        <v>7</v>
      </c>
      <c r="N1" s="1" t="s">
        <v>8</v>
      </c>
      <c r="O1" s="1" t="s">
        <v>9</v>
      </c>
      <c r="P1" s="4" t="s">
        <v>16</v>
      </c>
      <c r="Q1" s="1" t="s">
        <v>8</v>
      </c>
    </row>
    <row r="2" spans="1:17" s="12" customFormat="1" ht="94">
      <c r="A2" s="17" t="s">
        <v>186</v>
      </c>
      <c r="B2" s="3" t="s">
        <v>189</v>
      </c>
      <c r="C2" s="18" t="s">
        <v>191</v>
      </c>
      <c r="D2" s="18" t="s">
        <v>192</v>
      </c>
      <c r="E2" s="3">
        <f t="shared" ref="E2:E47" si="0">LEN(D2)</f>
        <v>158</v>
      </c>
      <c r="F2" s="8" t="s">
        <v>18</v>
      </c>
      <c r="G2" s="7">
        <v>92676</v>
      </c>
      <c r="H2" s="6" t="s">
        <v>188</v>
      </c>
      <c r="I2" s="2" t="s">
        <v>187</v>
      </c>
      <c r="J2" s="3" t="s">
        <v>61</v>
      </c>
      <c r="K2" s="19">
        <v>45292</v>
      </c>
      <c r="L2" s="19">
        <v>410534</v>
      </c>
      <c r="M2" s="3" t="s">
        <v>17</v>
      </c>
      <c r="N2" s="3" t="s">
        <v>19</v>
      </c>
      <c r="O2" s="2" t="str">
        <f t="shared" ref="O2:O47" si="1">I2</f>
        <v>Arden</v>
      </c>
      <c r="P2" s="2" t="s">
        <v>11</v>
      </c>
      <c r="Q2" s="2" t="str">
        <f t="shared" ref="Q2:Q47" si="2">N2</f>
        <v>Museums</v>
      </c>
    </row>
    <row r="3" spans="1:17" s="12" customFormat="1" ht="174.5">
      <c r="A3" s="16" t="s">
        <v>26</v>
      </c>
      <c r="B3" s="3" t="s">
        <v>65</v>
      </c>
      <c r="C3" s="18" t="s">
        <v>67</v>
      </c>
      <c r="D3" s="18" t="s">
        <v>68</v>
      </c>
      <c r="E3" s="3">
        <f t="shared" si="0"/>
        <v>153</v>
      </c>
      <c r="F3" s="8" t="s">
        <v>18</v>
      </c>
      <c r="G3" s="7">
        <v>92662</v>
      </c>
      <c r="H3" s="2" t="s">
        <v>64</v>
      </c>
      <c r="I3" s="2" t="s">
        <v>63</v>
      </c>
      <c r="J3" s="3" t="s">
        <v>62</v>
      </c>
      <c r="K3" s="19">
        <v>45292</v>
      </c>
      <c r="L3" s="19">
        <v>410534</v>
      </c>
      <c r="M3" s="3" t="s">
        <v>17</v>
      </c>
      <c r="N3" s="3" t="s">
        <v>19</v>
      </c>
      <c r="O3" s="2" t="str">
        <f t="shared" si="1"/>
        <v>Balboa island</v>
      </c>
      <c r="P3" s="2" t="s">
        <v>11</v>
      </c>
      <c r="Q3" s="2" t="str">
        <f t="shared" si="2"/>
        <v>Museums</v>
      </c>
    </row>
    <row r="4" spans="1:17" s="12" customFormat="1" ht="82.5">
      <c r="A4" s="16" t="s">
        <v>20</v>
      </c>
      <c r="B4" s="3" t="s">
        <v>69</v>
      </c>
      <c r="C4" s="18" t="s">
        <v>72</v>
      </c>
      <c r="D4" s="18" t="s">
        <v>74</v>
      </c>
      <c r="E4" s="3">
        <f t="shared" si="0"/>
        <v>138</v>
      </c>
      <c r="F4" s="8" t="s">
        <v>18</v>
      </c>
      <c r="G4" s="7">
        <v>92706</v>
      </c>
      <c r="H4" s="2" t="s">
        <v>73</v>
      </c>
      <c r="I4" s="2" t="s">
        <v>71</v>
      </c>
      <c r="J4" s="3" t="s">
        <v>70</v>
      </c>
      <c r="K4" s="19">
        <v>45292</v>
      </c>
      <c r="L4" s="19">
        <v>410534</v>
      </c>
      <c r="M4" s="3" t="s">
        <v>17</v>
      </c>
      <c r="N4" s="3" t="s">
        <v>19</v>
      </c>
      <c r="O4" s="2" t="str">
        <f t="shared" si="1"/>
        <v>Bowers</v>
      </c>
      <c r="P4" s="2" t="s">
        <v>11</v>
      </c>
      <c r="Q4" s="2" t="str">
        <f t="shared" si="2"/>
        <v>Museums</v>
      </c>
    </row>
    <row r="5" spans="1:17" s="12" customFormat="1" ht="61" customHeight="1">
      <c r="A5" s="16" t="s">
        <v>39</v>
      </c>
      <c r="B5" s="3" t="s">
        <v>75</v>
      </c>
      <c r="C5" s="18" t="s">
        <v>91</v>
      </c>
      <c r="D5" s="18" t="s">
        <v>90</v>
      </c>
      <c r="E5" s="3">
        <f t="shared" si="0"/>
        <v>158</v>
      </c>
      <c r="F5" s="8" t="s">
        <v>18</v>
      </c>
      <c r="G5" s="7">
        <v>92870</v>
      </c>
      <c r="H5" s="2" t="s">
        <v>77</v>
      </c>
      <c r="I5" s="2" t="s">
        <v>78</v>
      </c>
      <c r="J5" s="3" t="s">
        <v>79</v>
      </c>
      <c r="K5" s="19">
        <v>45292</v>
      </c>
      <c r="L5" s="19">
        <v>410534</v>
      </c>
      <c r="M5" s="3" t="s">
        <v>17</v>
      </c>
      <c r="N5" s="3" t="s">
        <v>19</v>
      </c>
      <c r="O5" s="2" t="str">
        <f t="shared" si="1"/>
        <v>Bradford</v>
      </c>
      <c r="P5" s="2" t="s">
        <v>11</v>
      </c>
      <c r="Q5" s="2" t="str">
        <f t="shared" si="2"/>
        <v>Museums</v>
      </c>
    </row>
    <row r="6" spans="1:17" s="12" customFormat="1" ht="74" customHeight="1">
      <c r="A6" s="20" t="s">
        <v>44</v>
      </c>
      <c r="B6" s="2" t="s">
        <v>83</v>
      </c>
      <c r="C6" s="18" t="s">
        <v>84</v>
      </c>
      <c r="D6" s="18" t="s">
        <v>85</v>
      </c>
      <c r="E6" s="3">
        <f t="shared" si="0"/>
        <v>152</v>
      </c>
      <c r="F6" s="8" t="s">
        <v>18</v>
      </c>
      <c r="G6" s="7">
        <v>92821</v>
      </c>
      <c r="H6" s="2" t="s">
        <v>81</v>
      </c>
      <c r="I6" s="2" t="s">
        <v>80</v>
      </c>
      <c r="J6" s="3" t="s">
        <v>82</v>
      </c>
      <c r="K6" s="19">
        <v>45292</v>
      </c>
      <c r="L6" s="19">
        <v>410534</v>
      </c>
      <c r="M6" s="3" t="s">
        <v>17</v>
      </c>
      <c r="N6" s="3" t="s">
        <v>19</v>
      </c>
      <c r="O6" s="2" t="str">
        <f t="shared" si="1"/>
        <v>Brea</v>
      </c>
      <c r="P6" s="2" t="s">
        <v>11</v>
      </c>
      <c r="Q6" s="2" t="str">
        <f t="shared" si="2"/>
        <v>Museums</v>
      </c>
    </row>
    <row r="7" spans="1:17" s="12" customFormat="1" ht="54" customHeight="1">
      <c r="A7" s="16" t="s">
        <v>45</v>
      </c>
      <c r="B7" s="2" t="s">
        <v>94</v>
      </c>
      <c r="C7" s="18" t="s">
        <v>89</v>
      </c>
      <c r="D7" s="18" t="s">
        <v>88</v>
      </c>
      <c r="E7" s="3">
        <f t="shared" si="0"/>
        <v>142</v>
      </c>
      <c r="F7" s="8" t="s">
        <v>18</v>
      </c>
      <c r="G7" s="7">
        <v>92672</v>
      </c>
      <c r="H7" s="3" t="s">
        <v>87</v>
      </c>
      <c r="I7" s="2" t="s">
        <v>66</v>
      </c>
      <c r="J7" s="3" t="s">
        <v>86</v>
      </c>
      <c r="K7" s="19">
        <v>45292</v>
      </c>
      <c r="L7" s="19">
        <v>410534</v>
      </c>
      <c r="M7" s="3" t="s">
        <v>17</v>
      </c>
      <c r="N7" s="3" t="s">
        <v>19</v>
      </c>
      <c r="O7" s="2" t="str">
        <f t="shared" si="1"/>
        <v>Casa</v>
      </c>
      <c r="P7" s="2" t="s">
        <v>11</v>
      </c>
      <c r="Q7" s="2" t="str">
        <f t="shared" si="2"/>
        <v>Museums</v>
      </c>
    </row>
    <row r="8" spans="1:17" s="12" customFormat="1" ht="67" customHeight="1">
      <c r="A8" s="20" t="s">
        <v>46</v>
      </c>
      <c r="B8" s="2" t="s">
        <v>46</v>
      </c>
      <c r="C8" s="18" t="s">
        <v>95</v>
      </c>
      <c r="D8" s="18" t="s">
        <v>95</v>
      </c>
      <c r="E8" s="3">
        <f t="shared" si="0"/>
        <v>104</v>
      </c>
      <c r="F8" s="8" t="s">
        <v>18</v>
      </c>
      <c r="G8" s="7">
        <v>90631</v>
      </c>
      <c r="H8" s="3" t="s">
        <v>92</v>
      </c>
      <c r="I8" s="2" t="s">
        <v>93</v>
      </c>
      <c r="J8" s="3" t="s">
        <v>96</v>
      </c>
      <c r="K8" s="19">
        <v>45292</v>
      </c>
      <c r="L8" s="19">
        <v>410534</v>
      </c>
      <c r="M8" s="3" t="s">
        <v>17</v>
      </c>
      <c r="N8" s="3" t="s">
        <v>19</v>
      </c>
      <c r="O8" s="2" t="str">
        <f t="shared" si="1"/>
        <v>Childrens</v>
      </c>
      <c r="P8" s="2" t="s">
        <v>11</v>
      </c>
      <c r="Q8" s="2" t="str">
        <f t="shared" si="2"/>
        <v>Museums</v>
      </c>
    </row>
    <row r="9" spans="1:17" s="12" customFormat="1" ht="60.5" customHeight="1">
      <c r="A9" s="17" t="s">
        <v>35</v>
      </c>
      <c r="B9" s="3" t="s">
        <v>76</v>
      </c>
      <c r="C9" s="18" t="s">
        <v>101</v>
      </c>
      <c r="D9" s="18" t="s">
        <v>102</v>
      </c>
      <c r="E9" s="3">
        <f t="shared" si="0"/>
        <v>135</v>
      </c>
      <c r="F9" s="8" t="s">
        <v>18</v>
      </c>
      <c r="G9" s="7">
        <v>92627</v>
      </c>
      <c r="H9" s="3" t="s">
        <v>98</v>
      </c>
      <c r="I9" s="2" t="s">
        <v>99</v>
      </c>
      <c r="J9" s="3" t="s">
        <v>100</v>
      </c>
      <c r="K9" s="19">
        <v>45292</v>
      </c>
      <c r="L9" s="19">
        <v>410534</v>
      </c>
      <c r="M9" s="3" t="s">
        <v>17</v>
      </c>
      <c r="N9" s="3" t="s">
        <v>19</v>
      </c>
      <c r="O9" s="2" t="str">
        <f t="shared" si="1"/>
        <v>Costa Mesa</v>
      </c>
      <c r="P9" s="2" t="s">
        <v>11</v>
      </c>
      <c r="Q9" s="2" t="str">
        <f t="shared" si="2"/>
        <v>Museums</v>
      </c>
    </row>
    <row r="10" spans="1:17" s="12" customFormat="1" ht="76" customHeight="1">
      <c r="A10" s="16" t="s">
        <v>57</v>
      </c>
      <c r="B10" s="3" t="s">
        <v>97</v>
      </c>
      <c r="C10" s="18" t="s">
        <v>112</v>
      </c>
      <c r="D10" s="18" t="s">
        <v>113</v>
      </c>
      <c r="E10" s="3">
        <f t="shared" si="0"/>
        <v>160</v>
      </c>
      <c r="F10" s="8" t="s">
        <v>18</v>
      </c>
      <c r="G10" s="7">
        <v>92701</v>
      </c>
      <c r="H10" s="3" t="s">
        <v>103</v>
      </c>
      <c r="I10" s="2" t="s">
        <v>104</v>
      </c>
      <c r="J10" s="3" t="s">
        <v>105</v>
      </c>
      <c r="K10" s="19">
        <v>45292</v>
      </c>
      <c r="L10" s="19">
        <v>410534</v>
      </c>
      <c r="M10" s="3" t="s">
        <v>17</v>
      </c>
      <c r="N10" s="3" t="s">
        <v>19</v>
      </c>
      <c r="O10" s="2" t="str">
        <f t="shared" si="1"/>
        <v>Dr.</v>
      </c>
      <c r="P10" s="2" t="s">
        <v>11</v>
      </c>
      <c r="Q10" s="2" t="str">
        <f t="shared" si="2"/>
        <v>Museums</v>
      </c>
    </row>
    <row r="11" spans="1:17" s="12" customFormat="1" ht="58" customHeight="1">
      <c r="A11" s="16" t="s">
        <v>60</v>
      </c>
      <c r="B11" s="3" t="s">
        <v>109</v>
      </c>
      <c r="C11" s="18" t="s">
        <v>240</v>
      </c>
      <c r="D11" s="18" t="s">
        <v>114</v>
      </c>
      <c r="E11" s="3">
        <f t="shared" si="0"/>
        <v>116</v>
      </c>
      <c r="F11" s="8" t="s">
        <v>18</v>
      </c>
      <c r="G11" s="7">
        <v>92661</v>
      </c>
      <c r="H11" s="3" t="s">
        <v>106</v>
      </c>
      <c r="I11" s="2" t="s">
        <v>108</v>
      </c>
      <c r="J11" s="3" t="s">
        <v>107</v>
      </c>
      <c r="K11" s="19">
        <v>45292</v>
      </c>
      <c r="L11" s="19">
        <v>410534</v>
      </c>
      <c r="M11" s="3" t="s">
        <v>17</v>
      </c>
      <c r="N11" s="3" t="s">
        <v>19</v>
      </c>
      <c r="O11" s="2" t="str">
        <f t="shared" si="1"/>
        <v>Explor</v>
      </c>
      <c r="P11" s="2" t="s">
        <v>11</v>
      </c>
      <c r="Q11" s="2" t="str">
        <f t="shared" si="2"/>
        <v>Museums</v>
      </c>
    </row>
    <row r="12" spans="1:17" s="12" customFormat="1" ht="52.5" customHeight="1">
      <c r="A12" s="16" t="s">
        <v>25</v>
      </c>
      <c r="B12" s="2" t="s">
        <v>119</v>
      </c>
      <c r="C12" s="18" t="s">
        <v>118</v>
      </c>
      <c r="D12" s="18" t="s">
        <v>118</v>
      </c>
      <c r="E12" s="3">
        <f t="shared" si="0"/>
        <v>123</v>
      </c>
      <c r="F12" s="8" t="s">
        <v>18</v>
      </c>
      <c r="G12" s="7">
        <v>92832</v>
      </c>
      <c r="H12" s="3" t="s">
        <v>115</v>
      </c>
      <c r="I12" s="2" t="s">
        <v>116</v>
      </c>
      <c r="J12" s="3" t="s">
        <v>117</v>
      </c>
      <c r="K12" s="19">
        <v>45292</v>
      </c>
      <c r="L12" s="19">
        <v>410534</v>
      </c>
      <c r="M12" s="3" t="s">
        <v>17</v>
      </c>
      <c r="N12" s="3" t="s">
        <v>19</v>
      </c>
      <c r="O12" s="2" t="str">
        <f t="shared" si="1"/>
        <v>Fullerton</v>
      </c>
      <c r="P12" s="2" t="s">
        <v>11</v>
      </c>
      <c r="Q12" s="2" t="str">
        <f t="shared" si="2"/>
        <v>Museums</v>
      </c>
    </row>
    <row r="13" spans="1:17" s="12" customFormat="1" ht="89" customHeight="1">
      <c r="A13" s="16" t="s">
        <v>120</v>
      </c>
      <c r="B13" s="3" t="s">
        <v>125</v>
      </c>
      <c r="C13" s="18" t="s">
        <v>124</v>
      </c>
      <c r="D13" s="18" t="s">
        <v>124</v>
      </c>
      <c r="E13" s="3">
        <f t="shared" si="0"/>
        <v>128</v>
      </c>
      <c r="F13" s="8" t="s">
        <v>18</v>
      </c>
      <c r="G13" s="7">
        <v>92832</v>
      </c>
      <c r="H13" s="3" t="s">
        <v>121</v>
      </c>
      <c r="I13" s="2" t="s">
        <v>122</v>
      </c>
      <c r="J13" s="3" t="s">
        <v>123</v>
      </c>
      <c r="K13" s="19">
        <v>45292</v>
      </c>
      <c r="L13" s="19">
        <v>410534</v>
      </c>
      <c r="M13" s="3" t="s">
        <v>17</v>
      </c>
      <c r="N13" s="3" t="s">
        <v>19</v>
      </c>
      <c r="O13" s="2" t="str">
        <f t="shared" si="1"/>
        <v>Fullerton Train</v>
      </c>
      <c r="P13" s="2" t="s">
        <v>11</v>
      </c>
      <c r="Q13" s="2" t="str">
        <f t="shared" si="2"/>
        <v>Museums</v>
      </c>
    </row>
    <row r="14" spans="1:17" s="12" customFormat="1" ht="53.5" customHeight="1">
      <c r="A14" s="16" t="s">
        <v>47</v>
      </c>
      <c r="B14" s="3" t="s">
        <v>110</v>
      </c>
      <c r="C14" s="18" t="s">
        <v>126</v>
      </c>
      <c r="D14" s="18" t="s">
        <v>127</v>
      </c>
      <c r="E14" s="3">
        <f t="shared" si="0"/>
        <v>158</v>
      </c>
      <c r="F14" s="8" t="s">
        <v>18</v>
      </c>
      <c r="G14" s="7">
        <v>92870</v>
      </c>
      <c r="H14" s="3" t="s">
        <v>128</v>
      </c>
      <c r="I14" s="2" t="s">
        <v>129</v>
      </c>
      <c r="J14" s="3" t="s">
        <v>130</v>
      </c>
      <c r="K14" s="19">
        <v>45292</v>
      </c>
      <c r="L14" s="19">
        <v>410534</v>
      </c>
      <c r="M14" s="3" t="s">
        <v>17</v>
      </c>
      <c r="N14" s="3" t="s">
        <v>19</v>
      </c>
      <c r="O14" s="2" t="str">
        <f t="shared" si="1"/>
        <v>George</v>
      </c>
      <c r="P14" s="2" t="s">
        <v>11</v>
      </c>
      <c r="Q14" s="2" t="str">
        <f t="shared" si="2"/>
        <v>Museums</v>
      </c>
    </row>
    <row r="15" spans="1:17" s="12" customFormat="1" ht="57" customHeight="1">
      <c r="A15" s="16" t="s">
        <v>48</v>
      </c>
      <c r="B15" s="3" t="s">
        <v>111</v>
      </c>
      <c r="C15" s="18" t="s">
        <v>131</v>
      </c>
      <c r="D15" s="18" t="s">
        <v>131</v>
      </c>
      <c r="E15" s="3">
        <f t="shared" si="0"/>
        <v>140</v>
      </c>
      <c r="F15" s="8" t="s">
        <v>18</v>
      </c>
      <c r="G15" s="7">
        <v>92630</v>
      </c>
      <c r="H15" s="3" t="s">
        <v>132</v>
      </c>
      <c r="I15" s="2" t="s">
        <v>133</v>
      </c>
      <c r="J15" s="3" t="s">
        <v>134</v>
      </c>
      <c r="K15" s="19">
        <v>45292</v>
      </c>
      <c r="L15" s="19">
        <v>410534</v>
      </c>
      <c r="M15" s="3" t="s">
        <v>17</v>
      </c>
      <c r="N15" s="3" t="s">
        <v>19</v>
      </c>
      <c r="O15" s="2" t="str">
        <f t="shared" si="1"/>
        <v>Heritage Hill</v>
      </c>
      <c r="P15" s="2" t="s">
        <v>11</v>
      </c>
      <c r="Q15" s="2" t="str">
        <f t="shared" si="2"/>
        <v>Museums</v>
      </c>
    </row>
    <row r="16" spans="1:17" s="12" customFormat="1" ht="124.5" customHeight="1">
      <c r="A16" s="16" t="s">
        <v>21</v>
      </c>
      <c r="B16" s="3" t="s">
        <v>135</v>
      </c>
      <c r="C16" s="18" t="s">
        <v>139</v>
      </c>
      <c r="D16" s="18" t="s">
        <v>139</v>
      </c>
      <c r="E16" s="3">
        <f t="shared" si="0"/>
        <v>136</v>
      </c>
      <c r="F16" s="8" t="s">
        <v>18</v>
      </c>
      <c r="G16" s="7">
        <v>92704</v>
      </c>
      <c r="H16" s="3" t="s">
        <v>136</v>
      </c>
      <c r="I16" s="2" t="s">
        <v>137</v>
      </c>
      <c r="J16" s="3" t="s">
        <v>138</v>
      </c>
      <c r="K16" s="19">
        <v>45292</v>
      </c>
      <c r="L16" s="19">
        <v>410534</v>
      </c>
      <c r="M16" s="3" t="s">
        <v>17</v>
      </c>
      <c r="N16" s="3" t="s">
        <v>19</v>
      </c>
      <c r="O16" s="2" t="str">
        <f t="shared" si="1"/>
        <v>Heritage Museum</v>
      </c>
      <c r="P16" s="2" t="s">
        <v>11</v>
      </c>
      <c r="Q16" s="2" t="str">
        <f t="shared" si="2"/>
        <v>Museums</v>
      </c>
    </row>
    <row r="17" spans="1:17" s="12" customFormat="1" ht="105.5">
      <c r="A17" s="16" t="s">
        <v>31</v>
      </c>
      <c r="B17" s="3" t="s">
        <v>141</v>
      </c>
      <c r="C17" s="18" t="s">
        <v>145</v>
      </c>
      <c r="D17" s="18" t="s">
        <v>146</v>
      </c>
      <c r="E17" s="3">
        <f t="shared" si="0"/>
        <v>135</v>
      </c>
      <c r="F17" s="8" t="s">
        <v>18</v>
      </c>
      <c r="G17" s="7">
        <v>92626</v>
      </c>
      <c r="H17" s="3" t="s">
        <v>140</v>
      </c>
      <c r="I17" s="2" t="s">
        <v>143</v>
      </c>
      <c r="J17" s="3" t="s">
        <v>144</v>
      </c>
      <c r="K17" s="19">
        <v>45292</v>
      </c>
      <c r="L17" s="19">
        <v>410534</v>
      </c>
      <c r="M17" s="3" t="s">
        <v>17</v>
      </c>
      <c r="N17" s="3" t="s">
        <v>19</v>
      </c>
      <c r="O17" s="2" t="str">
        <f t="shared" si="1"/>
        <v>Heros</v>
      </c>
      <c r="P17" s="2" t="s">
        <v>11</v>
      </c>
      <c r="Q17" s="2" t="str">
        <f t="shared" si="2"/>
        <v>Museums</v>
      </c>
    </row>
    <row r="18" spans="1:17" s="12" customFormat="1" ht="94">
      <c r="A18" s="16" t="s">
        <v>49</v>
      </c>
      <c r="B18" s="3" t="s">
        <v>49</v>
      </c>
      <c r="C18" s="18" t="s">
        <v>147</v>
      </c>
      <c r="D18" s="18" t="s">
        <v>148</v>
      </c>
      <c r="E18" s="3">
        <f t="shared" si="0"/>
        <v>105</v>
      </c>
      <c r="F18" s="8" t="s">
        <v>18</v>
      </c>
      <c r="G18" s="7">
        <v>92648</v>
      </c>
      <c r="H18" s="3" t="s">
        <v>149</v>
      </c>
      <c r="I18" s="2" t="s">
        <v>142</v>
      </c>
      <c r="J18" s="3" t="s">
        <v>150</v>
      </c>
      <c r="K18" s="19">
        <v>45292</v>
      </c>
      <c r="L18" s="19">
        <v>410534</v>
      </c>
      <c r="M18" s="3" t="s">
        <v>17</v>
      </c>
      <c r="N18" s="3" t="s">
        <v>19</v>
      </c>
      <c r="O18" s="2" t="str">
        <f t="shared" si="1"/>
        <v>International</v>
      </c>
      <c r="P18" s="2" t="s">
        <v>11</v>
      </c>
      <c r="Q18" s="2" t="str">
        <f t="shared" si="2"/>
        <v>Museums</v>
      </c>
    </row>
    <row r="19" spans="1:17" s="12" customFormat="1" ht="65.5">
      <c r="A19" s="16" t="s">
        <v>152</v>
      </c>
      <c r="B19" s="3" t="s">
        <v>151</v>
      </c>
      <c r="C19" s="18" t="s">
        <v>156</v>
      </c>
      <c r="D19" s="18" t="s">
        <v>157</v>
      </c>
      <c r="E19" s="3">
        <f t="shared" si="0"/>
        <v>159</v>
      </c>
      <c r="F19" s="8" t="s">
        <v>18</v>
      </c>
      <c r="G19" s="7">
        <v>92612</v>
      </c>
      <c r="H19" s="3" t="s">
        <v>155</v>
      </c>
      <c r="I19" s="2" t="s">
        <v>154</v>
      </c>
      <c r="J19" s="3" t="s">
        <v>153</v>
      </c>
      <c r="K19" s="19">
        <v>45292</v>
      </c>
      <c r="L19" s="19">
        <v>410534</v>
      </c>
      <c r="M19" s="3" t="s">
        <v>17</v>
      </c>
      <c r="N19" s="3" t="s">
        <v>19</v>
      </c>
      <c r="O19" s="2" t="str">
        <f t="shared" si="1"/>
        <v>Irvine</v>
      </c>
      <c r="P19" s="2" t="s">
        <v>11</v>
      </c>
      <c r="Q19" s="2" t="str">
        <f t="shared" si="2"/>
        <v>Museums</v>
      </c>
    </row>
    <row r="20" spans="1:17" s="12" customFormat="1" ht="71">
      <c r="A20" s="20" t="s">
        <v>50</v>
      </c>
      <c r="B20" s="3" t="s">
        <v>50</v>
      </c>
      <c r="C20" s="18" t="s">
        <v>160</v>
      </c>
      <c r="D20" s="18" t="s">
        <v>161</v>
      </c>
      <c r="E20" s="3">
        <f t="shared" si="0"/>
        <v>141</v>
      </c>
      <c r="F20" s="8" t="s">
        <v>18</v>
      </c>
      <c r="G20" s="7">
        <v>92610</v>
      </c>
      <c r="H20" s="7" t="s">
        <v>162</v>
      </c>
      <c r="I20" s="3" t="s">
        <v>159</v>
      </c>
      <c r="J20" s="3" t="s">
        <v>158</v>
      </c>
      <c r="K20" s="19">
        <v>45292</v>
      </c>
      <c r="L20" s="19">
        <v>410534</v>
      </c>
      <c r="M20" s="3" t="s">
        <v>17</v>
      </c>
      <c r="N20" s="3" t="s">
        <v>19</v>
      </c>
      <c r="O20" s="2" t="str">
        <f t="shared" si="1"/>
        <v>Kawasaki</v>
      </c>
      <c r="P20" s="2" t="s">
        <v>11</v>
      </c>
      <c r="Q20" s="2" t="str">
        <f t="shared" si="2"/>
        <v>Museums</v>
      </c>
    </row>
    <row r="21" spans="1:17" s="12" customFormat="1" ht="59.5">
      <c r="A21" s="20" t="s">
        <v>51</v>
      </c>
      <c r="B21" s="3" t="s">
        <v>51</v>
      </c>
      <c r="C21" s="18" t="s">
        <v>166</v>
      </c>
      <c r="D21" s="18" t="s">
        <v>167</v>
      </c>
      <c r="E21" s="3">
        <f t="shared" si="0"/>
        <v>152</v>
      </c>
      <c r="F21" s="8" t="s">
        <v>18</v>
      </c>
      <c r="G21" s="7">
        <v>90720</v>
      </c>
      <c r="H21" s="6" t="s">
        <v>163</v>
      </c>
      <c r="I21" s="3" t="s">
        <v>164</v>
      </c>
      <c r="J21" s="3" t="s">
        <v>165</v>
      </c>
      <c r="K21" s="19">
        <v>45292</v>
      </c>
      <c r="L21" s="19">
        <v>410534</v>
      </c>
      <c r="M21" s="3" t="s">
        <v>17</v>
      </c>
      <c r="N21" s="3" t="s">
        <v>19</v>
      </c>
      <c r="O21" s="2" t="str">
        <f t="shared" si="1"/>
        <v>Los</v>
      </c>
      <c r="P21" s="2" t="s">
        <v>11</v>
      </c>
      <c r="Q21" s="2" t="str">
        <f t="shared" si="2"/>
        <v>Museums</v>
      </c>
    </row>
    <row r="22" spans="1:17" s="12" customFormat="1" ht="82.5">
      <c r="A22" s="16" t="s">
        <v>28</v>
      </c>
      <c r="B22" s="2" t="s">
        <v>170</v>
      </c>
      <c r="C22" s="18" t="s">
        <v>169</v>
      </c>
      <c r="D22" s="18" t="s">
        <v>171</v>
      </c>
      <c r="E22" s="3">
        <f t="shared" si="0"/>
        <v>135</v>
      </c>
      <c r="F22" s="8" t="s">
        <v>18</v>
      </c>
      <c r="G22" s="7">
        <v>92707</v>
      </c>
      <c r="H22" s="6" t="s">
        <v>168</v>
      </c>
      <c r="I22" s="2" t="s">
        <v>177</v>
      </c>
      <c r="J22" s="3" t="s">
        <v>178</v>
      </c>
      <c r="K22" s="19">
        <v>45292</v>
      </c>
      <c r="L22" s="19">
        <v>410534</v>
      </c>
      <c r="M22" s="3" t="s">
        <v>17</v>
      </c>
      <c r="N22" s="3" t="s">
        <v>19</v>
      </c>
      <c r="O22" s="2" t="str">
        <f t="shared" si="1"/>
        <v>Lyons</v>
      </c>
      <c r="P22" s="2" t="s">
        <v>11</v>
      </c>
      <c r="Q22" s="2" t="str">
        <f t="shared" si="2"/>
        <v>Museums</v>
      </c>
    </row>
    <row r="23" spans="1:17" s="12" customFormat="1" ht="36.5">
      <c r="A23" s="16" t="s">
        <v>173</v>
      </c>
      <c r="B23" s="3" t="s">
        <v>174</v>
      </c>
      <c r="C23" s="18" t="s">
        <v>175</v>
      </c>
      <c r="D23" s="18" t="s">
        <v>175</v>
      </c>
      <c r="E23" s="3">
        <f t="shared" si="0"/>
        <v>120</v>
      </c>
      <c r="F23" s="8" t="s">
        <v>18</v>
      </c>
      <c r="G23" s="7">
        <v>92780</v>
      </c>
      <c r="H23" s="6" t="s">
        <v>176</v>
      </c>
      <c r="I23" s="2" t="s">
        <v>172</v>
      </c>
      <c r="J23" s="3" t="s">
        <v>179</v>
      </c>
      <c r="K23" s="19">
        <v>45292</v>
      </c>
      <c r="L23" s="19">
        <v>410534</v>
      </c>
      <c r="M23" s="3" t="s">
        <v>17</v>
      </c>
      <c r="N23" s="3" t="s">
        <v>19</v>
      </c>
      <c r="O23" s="2" t="str">
        <f t="shared" si="1"/>
        <v>Marconi</v>
      </c>
      <c r="P23" s="2" t="s">
        <v>11</v>
      </c>
      <c r="Q23" s="2" t="str">
        <f t="shared" si="2"/>
        <v>Museums</v>
      </c>
    </row>
    <row r="24" spans="1:17" s="12" customFormat="1" ht="71">
      <c r="A24" s="16" t="s">
        <v>23</v>
      </c>
      <c r="B24" s="3" t="s">
        <v>181</v>
      </c>
      <c r="C24" s="18" t="s">
        <v>180</v>
      </c>
      <c r="D24" s="18" t="s">
        <v>182</v>
      </c>
      <c r="E24" s="3">
        <f t="shared" si="0"/>
        <v>107</v>
      </c>
      <c r="F24" s="8" t="s">
        <v>18</v>
      </c>
      <c r="G24" s="7">
        <v>92675</v>
      </c>
      <c r="H24" s="6" t="s">
        <v>184</v>
      </c>
      <c r="I24" s="2" t="s">
        <v>183</v>
      </c>
      <c r="J24" s="3" t="s">
        <v>185</v>
      </c>
      <c r="K24" s="19">
        <v>45292</v>
      </c>
      <c r="L24" s="19">
        <v>410534</v>
      </c>
      <c r="M24" s="3" t="s">
        <v>17</v>
      </c>
      <c r="N24" s="3" t="s">
        <v>19</v>
      </c>
      <c r="O24" s="2" t="str">
        <f t="shared" si="1"/>
        <v>Mission</v>
      </c>
      <c r="P24" s="2" t="s">
        <v>11</v>
      </c>
      <c r="Q24" s="2" t="str">
        <f t="shared" si="2"/>
        <v>Museums</v>
      </c>
    </row>
    <row r="25" spans="1:17" s="12" customFormat="1" ht="105.5">
      <c r="A25" s="16" t="s">
        <v>52</v>
      </c>
      <c r="B25" s="3" t="s">
        <v>190</v>
      </c>
      <c r="C25" s="18" t="s">
        <v>196</v>
      </c>
      <c r="D25" s="18" t="s">
        <v>197</v>
      </c>
      <c r="E25" s="3">
        <f t="shared" si="0"/>
        <v>120</v>
      </c>
      <c r="F25" s="8" t="s">
        <v>18</v>
      </c>
      <c r="G25" s="7">
        <v>92805</v>
      </c>
      <c r="H25" s="6" t="s">
        <v>194</v>
      </c>
      <c r="I25" s="2" t="s">
        <v>193</v>
      </c>
      <c r="J25" s="3" t="s">
        <v>195</v>
      </c>
      <c r="K25" s="19">
        <v>45292</v>
      </c>
      <c r="L25" s="19">
        <v>410534</v>
      </c>
      <c r="M25" s="3" t="s">
        <v>17</v>
      </c>
      <c r="N25" s="3" t="s">
        <v>19</v>
      </c>
      <c r="O25" s="2" t="str">
        <f t="shared" si="1"/>
        <v>Mother</v>
      </c>
      <c r="P25" s="2" t="s">
        <v>11</v>
      </c>
      <c r="Q25" s="2" t="str">
        <f t="shared" si="2"/>
        <v>Museums</v>
      </c>
    </row>
    <row r="26" spans="1:17" s="12" customFormat="1" ht="48">
      <c r="A26" s="16" t="s">
        <v>36</v>
      </c>
      <c r="B26" s="3" t="s">
        <v>200</v>
      </c>
      <c r="C26" s="18" t="s">
        <v>202</v>
      </c>
      <c r="D26" s="18" t="s">
        <v>203</v>
      </c>
      <c r="E26" s="3">
        <f t="shared" si="0"/>
        <v>150</v>
      </c>
      <c r="F26" s="8" t="s">
        <v>18</v>
      </c>
      <c r="G26" s="7">
        <v>92653</v>
      </c>
      <c r="H26" s="6" t="s">
        <v>198</v>
      </c>
      <c r="I26" s="2" t="s">
        <v>199</v>
      </c>
      <c r="J26" s="3" t="s">
        <v>201</v>
      </c>
      <c r="K26" s="19">
        <v>45292</v>
      </c>
      <c r="L26" s="19">
        <v>410534</v>
      </c>
      <c r="M26" s="3" t="s">
        <v>17</v>
      </c>
      <c r="N26" s="3" t="s">
        <v>19</v>
      </c>
      <c r="O26" s="2" t="str">
        <f t="shared" si="1"/>
        <v>Moulton</v>
      </c>
      <c r="P26" s="2" t="s">
        <v>11</v>
      </c>
      <c r="Q26" s="2" t="str">
        <f t="shared" si="2"/>
        <v>Museums</v>
      </c>
    </row>
    <row r="27" spans="1:17" s="12" customFormat="1" ht="48">
      <c r="A27" s="16" t="s">
        <v>53</v>
      </c>
      <c r="B27" s="3" t="s">
        <v>207</v>
      </c>
      <c r="C27" s="18" t="s">
        <v>206</v>
      </c>
      <c r="D27" s="18" t="s">
        <v>206</v>
      </c>
      <c r="E27" s="3">
        <f t="shared" si="0"/>
        <v>157</v>
      </c>
      <c r="F27" s="8" t="s">
        <v>18</v>
      </c>
      <c r="G27" s="7">
        <v>92833</v>
      </c>
      <c r="H27" s="6" t="s">
        <v>204</v>
      </c>
      <c r="I27" s="2" t="s">
        <v>205</v>
      </c>
      <c r="J27" s="3" t="s">
        <v>208</v>
      </c>
      <c r="K27" s="19">
        <v>45292</v>
      </c>
      <c r="L27" s="19">
        <v>410534</v>
      </c>
      <c r="M27" s="3" t="s">
        <v>17</v>
      </c>
      <c r="N27" s="3" t="s">
        <v>19</v>
      </c>
      <c r="O27" s="2" t="str">
        <f t="shared" si="1"/>
        <v>Muck</v>
      </c>
      <c r="P27" s="2" t="s">
        <v>11</v>
      </c>
      <c r="Q27" s="2" t="str">
        <f t="shared" si="2"/>
        <v>Museums</v>
      </c>
    </row>
    <row r="28" spans="1:17" s="12" customFormat="1" ht="48">
      <c r="A28" s="20" t="s">
        <v>54</v>
      </c>
      <c r="B28" s="3" t="s">
        <v>209</v>
      </c>
      <c r="C28" s="18" t="s">
        <v>213</v>
      </c>
      <c r="D28" s="18" t="s">
        <v>213</v>
      </c>
      <c r="E28" s="3">
        <f t="shared" si="0"/>
        <v>155</v>
      </c>
      <c r="F28" s="8" t="s">
        <v>18</v>
      </c>
      <c r="G28" s="7">
        <v>92651</v>
      </c>
      <c r="H28" s="6" t="s">
        <v>212</v>
      </c>
      <c r="I28" s="2" t="s">
        <v>210</v>
      </c>
      <c r="J28" s="3" t="s">
        <v>211</v>
      </c>
      <c r="K28" s="19">
        <v>45292</v>
      </c>
      <c r="L28" s="19">
        <v>410534</v>
      </c>
      <c r="M28" s="3" t="s">
        <v>17</v>
      </c>
      <c r="N28" s="3" t="s">
        <v>19</v>
      </c>
      <c r="O28" s="2" t="str">
        <f t="shared" si="1"/>
        <v>Murphy</v>
      </c>
      <c r="P28" s="2" t="s">
        <v>11</v>
      </c>
      <c r="Q28" s="2" t="str">
        <f t="shared" si="2"/>
        <v>Museums</v>
      </c>
    </row>
    <row r="29" spans="1:17" s="12" customFormat="1" ht="82.5">
      <c r="A29" s="17" t="s">
        <v>37</v>
      </c>
      <c r="B29" s="3" t="s">
        <v>217</v>
      </c>
      <c r="C29" s="18" t="s">
        <v>218</v>
      </c>
      <c r="D29" s="18" t="s">
        <v>219</v>
      </c>
      <c r="E29" s="3">
        <f t="shared" si="0"/>
        <v>137</v>
      </c>
      <c r="F29" s="8" t="s">
        <v>18</v>
      </c>
      <c r="G29" s="7">
        <v>92831</v>
      </c>
      <c r="H29" s="6" t="s">
        <v>214</v>
      </c>
      <c r="I29" s="2" t="s">
        <v>215</v>
      </c>
      <c r="J29" s="3" t="s">
        <v>216</v>
      </c>
      <c r="K29" s="19">
        <v>45292</v>
      </c>
      <c r="L29" s="19">
        <v>410534</v>
      </c>
      <c r="M29" s="3" t="s">
        <v>17</v>
      </c>
      <c r="N29" s="3" t="s">
        <v>19</v>
      </c>
      <c r="O29" s="2" t="str">
        <f t="shared" si="1"/>
        <v>Museum of Teaching</v>
      </c>
      <c r="P29" s="2" t="s">
        <v>11</v>
      </c>
      <c r="Q29" s="2" t="str">
        <f t="shared" si="2"/>
        <v>Museums</v>
      </c>
    </row>
    <row r="30" spans="1:17" s="12" customFormat="1" ht="186">
      <c r="A30" s="17" t="s">
        <v>33</v>
      </c>
      <c r="B30" s="3" t="s">
        <v>223</v>
      </c>
      <c r="C30" s="18" t="s">
        <v>224</v>
      </c>
      <c r="D30" s="18" t="s">
        <v>225</v>
      </c>
      <c r="E30" s="3">
        <f t="shared" si="0"/>
        <v>144</v>
      </c>
      <c r="F30" s="8" t="s">
        <v>18</v>
      </c>
      <c r="G30" s="7">
        <v>92683</v>
      </c>
      <c r="H30" s="6" t="s">
        <v>220</v>
      </c>
      <c r="I30" s="2" t="s">
        <v>221</v>
      </c>
      <c r="J30" s="3" t="s">
        <v>222</v>
      </c>
      <c r="K30" s="19">
        <v>45292</v>
      </c>
      <c r="L30" s="19">
        <v>410534</v>
      </c>
      <c r="M30" s="3" t="s">
        <v>17</v>
      </c>
      <c r="N30" s="3" t="s">
        <v>19</v>
      </c>
      <c r="O30" s="2" t="str">
        <f t="shared" si="1"/>
        <v>Museum of the Republic</v>
      </c>
      <c r="P30" s="2" t="s">
        <v>11</v>
      </c>
      <c r="Q30" s="2" t="str">
        <f t="shared" si="2"/>
        <v>Museums</v>
      </c>
    </row>
    <row r="31" spans="1:17" s="12" customFormat="1" ht="59.5">
      <c r="A31" s="16" t="s">
        <v>59</v>
      </c>
      <c r="B31" s="3" t="s">
        <v>226</v>
      </c>
      <c r="C31" s="18" t="s">
        <v>230</v>
      </c>
      <c r="D31" s="18" t="s">
        <v>231</v>
      </c>
      <c r="E31" s="3">
        <f t="shared" si="0"/>
        <v>158</v>
      </c>
      <c r="F31" s="8" t="s">
        <v>18</v>
      </c>
      <c r="G31" s="7">
        <v>92805</v>
      </c>
      <c r="H31" s="6" t="s">
        <v>227</v>
      </c>
      <c r="I31" s="2" t="s">
        <v>228</v>
      </c>
      <c r="J31" s="3" t="s">
        <v>229</v>
      </c>
      <c r="K31" s="19">
        <v>45292</v>
      </c>
      <c r="L31" s="19">
        <v>410534</v>
      </c>
      <c r="M31" s="3" t="s">
        <v>17</v>
      </c>
      <c r="N31" s="3" t="s">
        <v>19</v>
      </c>
      <c r="O31" s="2" t="str">
        <f t="shared" si="1"/>
        <v>Muzeo</v>
      </c>
      <c r="P31" s="2" t="s">
        <v>11</v>
      </c>
      <c r="Q31" s="2" t="str">
        <f t="shared" si="2"/>
        <v>Museums</v>
      </c>
    </row>
    <row r="32" spans="1:17" s="12" customFormat="1" ht="82.5">
      <c r="A32" s="16" t="s">
        <v>32</v>
      </c>
      <c r="B32" s="2" t="s">
        <v>232</v>
      </c>
      <c r="C32" s="18" t="s">
        <v>237</v>
      </c>
      <c r="D32" s="18" t="s">
        <v>238</v>
      </c>
      <c r="E32" s="3">
        <f t="shared" si="0"/>
        <v>153</v>
      </c>
      <c r="F32" s="8" t="s">
        <v>18</v>
      </c>
      <c r="G32" s="7">
        <v>92648</v>
      </c>
      <c r="H32" s="6" t="s">
        <v>236</v>
      </c>
      <c r="I32" s="2" t="s">
        <v>235</v>
      </c>
      <c r="J32" s="3" t="s">
        <v>239</v>
      </c>
      <c r="K32" s="19">
        <v>45292</v>
      </c>
      <c r="L32" s="19">
        <v>410534</v>
      </c>
      <c r="M32" s="3" t="s">
        <v>17</v>
      </c>
      <c r="N32" s="3" t="s">
        <v>19</v>
      </c>
      <c r="O32" s="2" t="str">
        <f t="shared" si="1"/>
        <v>Newland</v>
      </c>
      <c r="P32" s="2" t="s">
        <v>11</v>
      </c>
      <c r="Q32" s="2" t="str">
        <f t="shared" si="2"/>
        <v>Museums</v>
      </c>
    </row>
    <row r="33" spans="1:17" s="12" customFormat="1" ht="71">
      <c r="A33" s="16" t="s">
        <v>241</v>
      </c>
      <c r="B33" s="3" t="s">
        <v>242</v>
      </c>
      <c r="C33" s="18" t="s">
        <v>243</v>
      </c>
      <c r="D33" s="18" t="s">
        <v>244</v>
      </c>
      <c r="E33" s="3">
        <f t="shared" si="0"/>
        <v>151</v>
      </c>
      <c r="F33" s="8" t="s">
        <v>18</v>
      </c>
      <c r="G33" s="7">
        <v>92629</v>
      </c>
      <c r="H33" s="6" t="s">
        <v>245</v>
      </c>
      <c r="I33" s="2" t="s">
        <v>246</v>
      </c>
      <c r="J33" s="3" t="s">
        <v>247</v>
      </c>
      <c r="K33" s="19">
        <v>45292</v>
      </c>
      <c r="L33" s="19">
        <v>410534</v>
      </c>
      <c r="M33" s="3" t="s">
        <v>17</v>
      </c>
      <c r="N33" s="3" t="s">
        <v>19</v>
      </c>
      <c r="O33" s="2" t="str">
        <f t="shared" si="1"/>
        <v>Ocean</v>
      </c>
      <c r="P33" s="2" t="s">
        <v>11</v>
      </c>
      <c r="Q33" s="2" t="str">
        <f t="shared" si="2"/>
        <v>Museums</v>
      </c>
    </row>
    <row r="34" spans="1:17" s="12" customFormat="1" ht="71">
      <c r="A34" s="17" t="s">
        <v>30</v>
      </c>
      <c r="B34" s="3" t="s">
        <v>248</v>
      </c>
      <c r="C34" s="18" t="s">
        <v>253</v>
      </c>
      <c r="D34" s="18" t="s">
        <v>254</v>
      </c>
      <c r="E34" s="3">
        <f t="shared" si="0"/>
        <v>156</v>
      </c>
      <c r="F34" s="8" t="s">
        <v>18</v>
      </c>
      <c r="G34" s="7">
        <v>92701</v>
      </c>
      <c r="H34" s="6" t="s">
        <v>251</v>
      </c>
      <c r="I34" s="2" t="s">
        <v>250</v>
      </c>
      <c r="J34" s="3" t="s">
        <v>252</v>
      </c>
      <c r="K34" s="19">
        <v>45292</v>
      </c>
      <c r="L34" s="19">
        <v>410534</v>
      </c>
      <c r="M34" s="3" t="s">
        <v>17</v>
      </c>
      <c r="N34" s="3" t="s">
        <v>19</v>
      </c>
      <c r="O34" s="2" t="str">
        <f t="shared" si="1"/>
        <v>Old</v>
      </c>
      <c r="P34" s="2" t="s">
        <v>11</v>
      </c>
      <c r="Q34" s="2" t="str">
        <f t="shared" si="2"/>
        <v>Museums</v>
      </c>
    </row>
    <row r="35" spans="1:17" s="12" customFormat="1" ht="82.5">
      <c r="A35" s="16" t="s">
        <v>40</v>
      </c>
      <c r="B35" s="3" t="s">
        <v>233</v>
      </c>
      <c r="C35" s="18" t="s">
        <v>259</v>
      </c>
      <c r="D35" s="18" t="s">
        <v>261</v>
      </c>
      <c r="E35" s="3">
        <f t="shared" si="0"/>
        <v>151</v>
      </c>
      <c r="F35" s="8" t="s">
        <v>18</v>
      </c>
      <c r="G35" s="7">
        <v>92823</v>
      </c>
      <c r="H35" s="6" t="s">
        <v>260</v>
      </c>
      <c r="I35" s="2" t="s">
        <v>258</v>
      </c>
      <c r="J35" s="3" t="s">
        <v>257</v>
      </c>
      <c r="K35" s="19">
        <v>45292</v>
      </c>
      <c r="L35" s="19">
        <v>410534</v>
      </c>
      <c r="M35" s="3" t="s">
        <v>17</v>
      </c>
      <c r="N35" s="3" t="s">
        <v>19</v>
      </c>
      <c r="O35" s="2" t="str">
        <f t="shared" si="1"/>
        <v>Olinda</v>
      </c>
      <c r="P35" s="2" t="s">
        <v>11</v>
      </c>
      <c r="Q35" s="2" t="str">
        <f t="shared" si="2"/>
        <v>Museums</v>
      </c>
    </row>
    <row r="36" spans="1:17" s="12" customFormat="1" ht="48">
      <c r="A36" s="16" t="s">
        <v>22</v>
      </c>
      <c r="B36" s="3" t="s">
        <v>234</v>
      </c>
      <c r="C36" s="18" t="s">
        <v>264</v>
      </c>
      <c r="D36" s="18" t="s">
        <v>265</v>
      </c>
      <c r="E36" s="3">
        <f t="shared" si="0"/>
        <v>142</v>
      </c>
      <c r="F36" s="8" t="s">
        <v>18</v>
      </c>
      <c r="G36" s="7">
        <v>92618</v>
      </c>
      <c r="H36" s="6" t="s">
        <v>262</v>
      </c>
      <c r="I36" s="2" t="s">
        <v>263</v>
      </c>
      <c r="J36" s="3" t="s">
        <v>266</v>
      </c>
      <c r="K36" s="19">
        <v>45292</v>
      </c>
      <c r="L36" s="19">
        <v>410534</v>
      </c>
      <c r="M36" s="3" t="s">
        <v>17</v>
      </c>
      <c r="N36" s="3" t="s">
        <v>19</v>
      </c>
      <c r="O36" s="2" t="str">
        <f t="shared" si="1"/>
        <v>Pretend</v>
      </c>
      <c r="P36" s="2" t="s">
        <v>11</v>
      </c>
      <c r="Q36" s="2" t="str">
        <f t="shared" si="2"/>
        <v>Museums</v>
      </c>
    </row>
    <row r="37" spans="1:17" s="12" customFormat="1" ht="59.5">
      <c r="A37" s="17" t="s">
        <v>43</v>
      </c>
      <c r="B37" s="3" t="s">
        <v>269</v>
      </c>
      <c r="C37" s="18" t="s">
        <v>268</v>
      </c>
      <c r="D37" s="18" t="s">
        <v>270</v>
      </c>
      <c r="E37" s="3">
        <f t="shared" si="0"/>
        <v>87</v>
      </c>
      <c r="F37" s="8" t="s">
        <v>18</v>
      </c>
      <c r="G37" s="7">
        <v>90740</v>
      </c>
      <c r="H37" s="6" t="s">
        <v>271</v>
      </c>
      <c r="I37" s="2" t="s">
        <v>272</v>
      </c>
      <c r="J37" s="3" t="s">
        <v>273</v>
      </c>
      <c r="K37" s="19">
        <v>45292</v>
      </c>
      <c r="L37" s="19">
        <v>410534</v>
      </c>
      <c r="M37" s="3" t="s">
        <v>17</v>
      </c>
      <c r="N37" s="3" t="s">
        <v>19</v>
      </c>
      <c r="O37" s="2" t="str">
        <f t="shared" si="1"/>
        <v>Red</v>
      </c>
      <c r="P37" s="2" t="s">
        <v>11</v>
      </c>
      <c r="Q37" s="2" t="str">
        <f t="shared" si="2"/>
        <v>Museums</v>
      </c>
    </row>
    <row r="38" spans="1:17" s="12" customFormat="1" ht="71">
      <c r="A38" s="16" t="s">
        <v>41</v>
      </c>
      <c r="B38" s="3" t="s">
        <v>249</v>
      </c>
      <c r="C38" s="18" t="s">
        <v>278</v>
      </c>
      <c r="D38" s="18" t="s">
        <v>279</v>
      </c>
      <c r="E38" s="3">
        <f t="shared" si="0"/>
        <v>130</v>
      </c>
      <c r="F38" s="8" t="s">
        <v>18</v>
      </c>
      <c r="G38" s="7">
        <v>92886</v>
      </c>
      <c r="H38" s="6" t="s">
        <v>280</v>
      </c>
      <c r="I38" s="2" t="s">
        <v>276</v>
      </c>
      <c r="J38" s="3" t="s">
        <v>275</v>
      </c>
      <c r="K38" s="19">
        <v>45292</v>
      </c>
      <c r="L38" s="19">
        <v>410534</v>
      </c>
      <c r="M38" s="3" t="s">
        <v>17</v>
      </c>
      <c r="N38" s="3" t="s">
        <v>19</v>
      </c>
      <c r="O38" s="2" t="str">
        <f t="shared" si="1"/>
        <v>Richard birthplace</v>
      </c>
      <c r="P38" s="2" t="s">
        <v>11</v>
      </c>
      <c r="Q38" s="2" t="str">
        <f t="shared" si="2"/>
        <v>Museums</v>
      </c>
    </row>
    <row r="39" spans="1:17" s="12" customFormat="1" ht="48">
      <c r="A39" s="16" t="s">
        <v>58</v>
      </c>
      <c r="B39" s="3" t="s">
        <v>281</v>
      </c>
      <c r="C39" s="18" t="s">
        <v>283</v>
      </c>
      <c r="D39" s="18" t="s">
        <v>284</v>
      </c>
      <c r="E39" s="3">
        <f t="shared" si="0"/>
        <v>152</v>
      </c>
      <c r="F39" s="8" t="s">
        <v>18</v>
      </c>
      <c r="G39" s="7">
        <v>92886</v>
      </c>
      <c r="H39" s="6" t="s">
        <v>280</v>
      </c>
      <c r="I39" s="2" t="s">
        <v>277</v>
      </c>
      <c r="J39" s="3" t="s">
        <v>274</v>
      </c>
      <c r="K39" s="19">
        <v>45292</v>
      </c>
      <c r="L39" s="19">
        <v>410534</v>
      </c>
      <c r="M39" s="3" t="s">
        <v>17</v>
      </c>
      <c r="N39" s="3" t="s">
        <v>19</v>
      </c>
      <c r="O39" s="2" t="str">
        <f t="shared" si="1"/>
        <v>Richard museum</v>
      </c>
      <c r="P39" s="2" t="s">
        <v>11</v>
      </c>
      <c r="Q39" s="2" t="str">
        <f t="shared" si="2"/>
        <v>Museums</v>
      </c>
    </row>
    <row r="40" spans="1:17" s="12" customFormat="1" ht="105.5">
      <c r="A40" s="20" t="s">
        <v>55</v>
      </c>
      <c r="B40" s="3" t="s">
        <v>282</v>
      </c>
      <c r="C40" s="18" t="s">
        <v>288</v>
      </c>
      <c r="D40" s="18" t="s">
        <v>289</v>
      </c>
      <c r="E40" s="3">
        <f t="shared" si="0"/>
        <v>143</v>
      </c>
      <c r="F40" s="8" t="s">
        <v>18</v>
      </c>
      <c r="G40" s="7">
        <v>92701</v>
      </c>
      <c r="H40" s="6" t="s">
        <v>287</v>
      </c>
      <c r="I40" s="2" t="s">
        <v>286</v>
      </c>
      <c r="J40" s="3" t="s">
        <v>285</v>
      </c>
      <c r="K40" s="19">
        <v>45292</v>
      </c>
      <c r="L40" s="19">
        <v>410534</v>
      </c>
      <c r="M40" s="3" t="s">
        <v>17</v>
      </c>
      <c r="N40" s="3" t="s">
        <v>19</v>
      </c>
      <c r="O40" s="2" t="str">
        <f t="shared" si="1"/>
        <v>Santa</v>
      </c>
      <c r="P40" s="2" t="s">
        <v>11</v>
      </c>
      <c r="Q40" s="2" t="str">
        <f t="shared" si="2"/>
        <v>Museums</v>
      </c>
    </row>
    <row r="41" spans="1:17" s="12" customFormat="1" ht="174.5">
      <c r="A41" s="16" t="s">
        <v>29</v>
      </c>
      <c r="B41" s="3" t="s">
        <v>255</v>
      </c>
      <c r="C41" s="18" t="s">
        <v>294</v>
      </c>
      <c r="D41" s="18" t="s">
        <v>295</v>
      </c>
      <c r="E41" s="3">
        <f t="shared" si="0"/>
        <v>148</v>
      </c>
      <c r="F41" s="8" t="s">
        <v>18</v>
      </c>
      <c r="G41" s="7">
        <v>92840</v>
      </c>
      <c r="H41" s="6" t="s">
        <v>291</v>
      </c>
      <c r="I41" s="2" t="s">
        <v>292</v>
      </c>
      <c r="J41" s="3" t="s">
        <v>293</v>
      </c>
      <c r="K41" s="19">
        <v>45292</v>
      </c>
      <c r="L41" s="19">
        <v>410534</v>
      </c>
      <c r="M41" s="3" t="s">
        <v>17</v>
      </c>
      <c r="N41" s="3" t="s">
        <v>19</v>
      </c>
      <c r="O41" s="2" t="str">
        <f t="shared" si="1"/>
        <v>Stanley</v>
      </c>
      <c r="P41" s="2" t="s">
        <v>11</v>
      </c>
      <c r="Q41" s="2" t="str">
        <f t="shared" si="2"/>
        <v>Museums</v>
      </c>
    </row>
    <row r="42" spans="1:17" s="12" customFormat="1" ht="140">
      <c r="A42" s="16" t="s">
        <v>24</v>
      </c>
      <c r="B42" s="3" t="s">
        <v>299</v>
      </c>
      <c r="C42" s="18" t="s">
        <v>300</v>
      </c>
      <c r="D42" s="18" t="s">
        <v>301</v>
      </c>
      <c r="E42" s="3">
        <f t="shared" si="0"/>
        <v>157</v>
      </c>
      <c r="F42" s="8" t="s">
        <v>18</v>
      </c>
      <c r="G42" s="7">
        <v>92672</v>
      </c>
      <c r="H42" s="6" t="s">
        <v>296</v>
      </c>
      <c r="I42" s="2" t="s">
        <v>297</v>
      </c>
      <c r="J42" s="3" t="s">
        <v>298</v>
      </c>
      <c r="K42" s="19">
        <v>45292</v>
      </c>
      <c r="L42" s="19">
        <v>410534</v>
      </c>
      <c r="M42" s="3" t="s">
        <v>17</v>
      </c>
      <c r="N42" s="3" t="s">
        <v>19</v>
      </c>
      <c r="O42" s="2" t="str">
        <f t="shared" si="1"/>
        <v>Surfing</v>
      </c>
      <c r="P42" s="2" t="s">
        <v>11</v>
      </c>
      <c r="Q42" s="2" t="str">
        <f t="shared" si="2"/>
        <v>Museums</v>
      </c>
    </row>
    <row r="43" spans="1:17" s="12" customFormat="1" ht="133" customHeight="1">
      <c r="A43" s="17" t="s">
        <v>42</v>
      </c>
      <c r="B43" s="3" t="s">
        <v>256</v>
      </c>
      <c r="C43" s="18" t="s">
        <v>305</v>
      </c>
      <c r="D43" s="18" t="s">
        <v>306</v>
      </c>
      <c r="E43" s="3">
        <f t="shared" si="0"/>
        <v>152</v>
      </c>
      <c r="F43" s="8" t="s">
        <v>18</v>
      </c>
      <c r="G43" s="7">
        <v>92887</v>
      </c>
      <c r="H43" s="6" t="s">
        <v>302</v>
      </c>
      <c r="I43" s="2" t="s">
        <v>303</v>
      </c>
      <c r="J43" s="3" t="s">
        <v>304</v>
      </c>
      <c r="K43" s="19">
        <v>45292</v>
      </c>
      <c r="L43" s="19">
        <v>410534</v>
      </c>
      <c r="M43" s="3" t="s">
        <v>17</v>
      </c>
      <c r="N43" s="3" t="s">
        <v>19</v>
      </c>
      <c r="O43" s="2" t="str">
        <f t="shared" si="1"/>
        <v>Susanna</v>
      </c>
      <c r="P43" s="2" t="s">
        <v>11</v>
      </c>
      <c r="Q43" s="2" t="str">
        <f t="shared" si="2"/>
        <v>Museums</v>
      </c>
    </row>
    <row r="44" spans="1:17" s="12" customFormat="1" ht="163">
      <c r="A44" s="16" t="s">
        <v>27</v>
      </c>
      <c r="B44" s="3" t="s">
        <v>267</v>
      </c>
      <c r="C44" s="18" t="s">
        <v>309</v>
      </c>
      <c r="D44" s="18" t="s">
        <v>310</v>
      </c>
      <c r="E44" s="3">
        <f t="shared" si="0"/>
        <v>155</v>
      </c>
      <c r="F44" s="7" t="s">
        <v>18</v>
      </c>
      <c r="G44" s="7">
        <v>90631</v>
      </c>
      <c r="H44" s="6" t="s">
        <v>308</v>
      </c>
      <c r="I44" s="2" t="s">
        <v>307</v>
      </c>
      <c r="J44" s="3" t="s">
        <v>96</v>
      </c>
      <c r="K44" s="19">
        <v>45292</v>
      </c>
      <c r="L44" s="19">
        <v>410534</v>
      </c>
      <c r="M44" s="3" t="s">
        <v>17</v>
      </c>
      <c r="N44" s="3" t="s">
        <v>19</v>
      </c>
      <c r="O44" s="2" t="str">
        <f t="shared" si="1"/>
        <v>The childrens</v>
      </c>
      <c r="P44" s="2" t="s">
        <v>11</v>
      </c>
      <c r="Q44" s="2" t="str">
        <f t="shared" si="2"/>
        <v>Museums</v>
      </c>
    </row>
    <row r="45" spans="1:17" s="12" customFormat="1" ht="48">
      <c r="A45" s="16" t="s">
        <v>34</v>
      </c>
      <c r="B45" s="3" t="s">
        <v>311</v>
      </c>
      <c r="C45" s="18" t="s">
        <v>315</v>
      </c>
      <c r="D45" s="18" t="s">
        <v>315</v>
      </c>
      <c r="E45" s="3">
        <f t="shared" si="0"/>
        <v>132</v>
      </c>
      <c r="F45" s="7" t="s">
        <v>18</v>
      </c>
      <c r="G45" s="6">
        <v>92780</v>
      </c>
      <c r="H45" s="7" t="s">
        <v>312</v>
      </c>
      <c r="I45" s="2" t="s">
        <v>313</v>
      </c>
      <c r="J45" s="3" t="s">
        <v>314</v>
      </c>
      <c r="K45" s="19">
        <v>45292</v>
      </c>
      <c r="L45" s="19">
        <v>410534</v>
      </c>
      <c r="M45" s="3" t="s">
        <v>17</v>
      </c>
      <c r="N45" s="3" t="s">
        <v>19</v>
      </c>
      <c r="O45" s="2" t="str">
        <f t="shared" si="1"/>
        <v>Tustin</v>
      </c>
      <c r="P45" s="2" t="s">
        <v>11</v>
      </c>
      <c r="Q45" s="2" t="str">
        <f t="shared" si="2"/>
        <v>Museums</v>
      </c>
    </row>
    <row r="46" spans="1:17" s="12" customFormat="1" ht="71">
      <c r="A46" s="16" t="s">
        <v>38</v>
      </c>
      <c r="B46" s="3" t="s">
        <v>316</v>
      </c>
      <c r="C46" s="18" t="s">
        <v>317</v>
      </c>
      <c r="D46" s="18" t="s">
        <v>318</v>
      </c>
      <c r="E46" s="3">
        <f t="shared" si="0"/>
        <v>104</v>
      </c>
      <c r="F46" s="8" t="s">
        <v>18</v>
      </c>
      <c r="G46" s="6">
        <v>92683</v>
      </c>
      <c r="H46" s="7" t="s">
        <v>319</v>
      </c>
      <c r="I46" s="2" t="s">
        <v>320</v>
      </c>
      <c r="J46" s="3" t="s">
        <v>321</v>
      </c>
      <c r="K46" s="19">
        <v>45292</v>
      </c>
      <c r="L46" s="19">
        <v>410534</v>
      </c>
      <c r="M46" s="3" t="s">
        <v>17</v>
      </c>
      <c r="N46" s="3" t="s">
        <v>19</v>
      </c>
      <c r="O46" s="2" t="str">
        <f t="shared" si="1"/>
        <v>Westminster</v>
      </c>
      <c r="P46" s="2" t="s">
        <v>11</v>
      </c>
      <c r="Q46" s="2" t="str">
        <f t="shared" si="2"/>
        <v>Museums</v>
      </c>
    </row>
    <row r="47" spans="1:17" s="12" customFormat="1" ht="117">
      <c r="A47" s="20" t="s">
        <v>56</v>
      </c>
      <c r="B47" s="3" t="s">
        <v>322</v>
      </c>
      <c r="C47" s="18" t="s">
        <v>324</v>
      </c>
      <c r="D47" s="18" t="s">
        <v>325</v>
      </c>
      <c r="E47" s="3">
        <f t="shared" si="0"/>
        <v>134</v>
      </c>
      <c r="F47" s="8" t="s">
        <v>18</v>
      </c>
      <c r="G47" s="6">
        <v>90621</v>
      </c>
      <c r="H47" s="7" t="s">
        <v>323</v>
      </c>
      <c r="I47" s="8" t="s">
        <v>290</v>
      </c>
      <c r="J47" s="3" t="s">
        <v>326</v>
      </c>
      <c r="K47" s="19">
        <v>45292</v>
      </c>
      <c r="L47" s="19">
        <v>410534</v>
      </c>
      <c r="M47" s="3" t="s">
        <v>17</v>
      </c>
      <c r="N47" s="3" t="s">
        <v>19</v>
      </c>
      <c r="O47" s="2" t="str">
        <f t="shared" si="1"/>
        <v>Whitaker</v>
      </c>
      <c r="P47" s="2" t="s">
        <v>11</v>
      </c>
      <c r="Q47" s="2" t="str">
        <f t="shared" si="2"/>
        <v>Museums</v>
      </c>
    </row>
    <row r="48" spans="1:17" ht="17">
      <c r="A48" s="14"/>
      <c r="B48" s="14"/>
      <c r="C48" s="14"/>
      <c r="D48" s="14"/>
      <c r="E48" s="13"/>
      <c r="F48" s="8"/>
      <c r="G48" s="14"/>
      <c r="H48" s="14"/>
      <c r="I48" s="14"/>
      <c r="J48" s="14"/>
      <c r="K48" s="9"/>
      <c r="L48" s="9"/>
      <c r="M48" s="3"/>
      <c r="N48" s="3"/>
      <c r="O48" s="2"/>
      <c r="P48" s="2"/>
      <c r="Q48" s="2"/>
    </row>
    <row r="49" spans="1:17" ht="17">
      <c r="A49" s="14"/>
      <c r="B49" s="14"/>
      <c r="C49" s="14"/>
      <c r="D49" s="14"/>
      <c r="E49" s="14"/>
      <c r="F49" s="14"/>
      <c r="G49" s="14"/>
      <c r="H49" s="14"/>
      <c r="I49" s="14"/>
      <c r="J49" s="14"/>
      <c r="K49" s="9"/>
      <c r="L49" s="9"/>
      <c r="M49" s="3"/>
      <c r="N49" s="3"/>
      <c r="O49" s="2"/>
      <c r="P49" s="2"/>
      <c r="Q49" s="2"/>
    </row>
    <row r="50" spans="1:17">
      <c r="A50" s="14"/>
      <c r="B50" s="14"/>
      <c r="C50" s="14"/>
      <c r="D50" s="14"/>
      <c r="E50" s="14"/>
      <c r="F50" s="14"/>
      <c r="G50" s="14"/>
      <c r="H50" s="14"/>
      <c r="I50" s="14"/>
      <c r="J50" s="14"/>
      <c r="K50" s="15"/>
      <c r="L50" s="15"/>
      <c r="M50" s="14"/>
      <c r="N50" s="14"/>
      <c r="O50" s="14"/>
      <c r="P50" s="14"/>
      <c r="Q50" s="14"/>
    </row>
  </sheetData>
  <autoFilter ref="A1:Q35" xr:uid="{63DA3E44-3605-449C-AE11-8D4FB01A0BBE}">
    <sortState xmlns:xlrd2="http://schemas.microsoft.com/office/spreadsheetml/2017/richdata2" ref="A2:Q47">
      <sortCondition ref="B1:B35"/>
    </sortState>
  </autoFilter>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Museums</vt:lpstr>
      <vt:lpstr>Museums!Print_Area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2024-07-16T21:38:14Z</dcterms:modified>
</cp:coreProperties>
</file>