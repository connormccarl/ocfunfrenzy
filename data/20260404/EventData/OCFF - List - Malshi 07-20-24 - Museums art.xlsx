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d.docs.live.net/7c8981b39d99169f/Desktop/- OCFF/Fiverr/"/>
    </mc:Choice>
  </mc:AlternateContent>
  <xr:revisionPtr revIDLastSave="220" documentId="8_{B0EBB793-2FF9-42D1-B837-364C2F011F73}" xr6:coauthVersionLast="47" xr6:coauthVersionMax="47" xr10:uidLastSave="{6A6904E3-A7B3-4EF6-A1F4-701C535AA515}"/>
  <bookViews>
    <workbookView xWindow="-110" yWindow="-110" windowWidth="19420" windowHeight="11500" xr2:uid="{3F4AF157-4EA4-44F9-9369-4ED39BF1C451}"/>
  </bookViews>
  <sheets>
    <sheet name="Museums" sheetId="2" r:id="rId1"/>
  </sheets>
  <definedNames>
    <definedName name="_xlnm._FilterDatabase" localSheetId="0" hidden="1">Museums!$A$1:$Q$36</definedName>
    <definedName name="_xlnm.Print_Area" localSheetId="0">Museums!$A$1:$B$49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2" l="1"/>
  <c r="Q10" i="2"/>
  <c r="O2" i="2"/>
  <c r="O10" i="2"/>
  <c r="E2" i="2"/>
  <c r="E10" i="2"/>
  <c r="Q9" i="2"/>
  <c r="O9" i="2"/>
  <c r="E9" i="2"/>
  <c r="Q8" i="2"/>
  <c r="O8" i="2"/>
  <c r="E8" i="2"/>
  <c r="Q7" i="2"/>
  <c r="O7" i="2"/>
  <c r="E7" i="2"/>
  <c r="Q6" i="2"/>
  <c r="O6" i="2"/>
  <c r="E6" i="2"/>
  <c r="Q5" i="2"/>
  <c r="O5" i="2"/>
  <c r="E5" i="2"/>
  <c r="Q4" i="2"/>
  <c r="O4" i="2"/>
  <c r="E4" i="2"/>
  <c r="Q3" i="2"/>
  <c r="O3" i="2"/>
  <c r="E3" i="2"/>
</calcChain>
</file>

<file path=xl/sharedStrings.xml><?xml version="1.0" encoding="utf-8"?>
<sst xmlns="http://schemas.openxmlformats.org/spreadsheetml/2006/main" count="116" uniqueCount="86">
  <si>
    <t>Event</t>
  </si>
  <si>
    <t>Focus Keyphrase</t>
  </si>
  <si>
    <t>Zip code</t>
  </si>
  <si>
    <t>Event location</t>
  </si>
  <si>
    <t>Registration email/URL</t>
  </si>
  <si>
    <t>Start date</t>
  </si>
  <si>
    <t>End date</t>
  </si>
  <si>
    <t>Event category</t>
  </si>
  <si>
    <t>Event type</t>
  </si>
  <si>
    <t>Event thumbnail</t>
  </si>
  <si>
    <t>Banner name
(in folder, to upload)</t>
  </si>
  <si>
    <t>Family fun</t>
  </si>
  <si>
    <t>Title</t>
  </si>
  <si>
    <t>Top Box</t>
  </si>
  <si>
    <t>Meta Description 
(160 max words)</t>
  </si>
  <si>
    <t>Cell count</t>
  </si>
  <si>
    <t>Event category
(only 1)</t>
  </si>
  <si>
    <t>Family fun, date night, flying solo, group</t>
  </si>
  <si>
    <t>Museum</t>
  </si>
  <si>
    <t>Museums</t>
  </si>
  <si>
    <t>OC museum - Costa mesa</t>
  </si>
  <si>
    <t>Laguna Art museum</t>
  </si>
  <si>
    <t>Jack &amp; Shanaz langson institute of art</t>
  </si>
  <si>
    <t>Hilbert museum of CA - orange</t>
  </si>
  <si>
    <t>Gray matter museum of art - SC</t>
  </si>
  <si>
    <t>Beall Center for Art + Technology</t>
  </si>
  <si>
    <t>Orange County Center for Contemporary Art</t>
  </si>
  <si>
    <t>The Hilbert Museum of California Art is a U.S. museum located at Chapman University in Orange, California. The museum's collection consists of more than 1,000 paintings – primarily watercolors and oil paintings by artists of the California Scene Painting movement.</t>
  </si>
  <si>
    <t>Battleship Iowa</t>
  </si>
  <si>
    <t>Queen Mary</t>
  </si>
  <si>
    <t>Battleship Iowa Museum</t>
  </si>
  <si>
    <t>Queen Mary Museum</t>
  </si>
  <si>
    <t>https://pacificbattleship.com/</t>
  </si>
  <si>
    <t xml:space="preserve">250 S Harbor Blvd, Los Angeles, CA </t>
  </si>
  <si>
    <t>The Battleship USS Iowa Museum is a maritime museum located at the Port of Los Angeles in San Pedro, CA. The museum's main artifact is the USS Iowa, lead ship of the Iowa class of battleships.</t>
  </si>
  <si>
    <t>Battleship USS Iowa Museum is a maritime museum located at the Port of Los Angeles, that has many artifacts.</t>
  </si>
  <si>
    <t>Battleship</t>
  </si>
  <si>
    <t>Queen</t>
  </si>
  <si>
    <t>Beall</t>
  </si>
  <si>
    <t>Gray</t>
  </si>
  <si>
    <t>Hilbert</t>
  </si>
  <si>
    <t>https://queenmary.com/tours/tours-exhibits/</t>
  </si>
  <si>
    <t xml:space="preserve">1126 Queens Hwy, Long Beach, CA </t>
  </si>
  <si>
    <r>
      <rPr>
        <sz val="9"/>
        <rFont val="Aptos Narrow"/>
        <family val="2"/>
        <scheme val="minor"/>
      </rPr>
      <t>The Queen Mary museum is a luxurious passenger ship that made the Titanic seem like a bathtub toy. At 1,019 feet long and 81,000 tons, the Queen Mary was one of the largest and most elegant ships of the early 20th century. The ocean liner made 1,001 crossings between New York and England beginning in 1936. Now permanently stationed in Long Beach, the Queen Mary is not just a floating museum—the ship also offers top-notch dining, dazzling city skyline views, overnight accommodations in original first-class staterooms, and a full calendar of performances and events.</t>
    </r>
  </si>
  <si>
    <t> Queen Mary museum offers top-notch dining, dazzling city skyline views, overnight accommodations in original first-class staterooms &amp; performances/events.</t>
  </si>
  <si>
    <t xml:space="preserve">712 Arts Plaza, Irvine, CA </t>
  </si>
  <si>
    <t>https://beallcenter.uci.edu/exhibitions</t>
  </si>
  <si>
    <t>Beall Center Art Museum</t>
  </si>
  <si>
    <t>Art Museum</t>
  </si>
  <si>
    <t>Museums - Art</t>
  </si>
  <si>
    <t>The mission of the Beall Center &amp; Art Museum is to support research, exhibitions, and public programs that explore new relationships between the arts, sciences, and engineering, and to promote new forms of creation and expression using digital technologies. The Beall Center aspires to redefine the museum/gallery experience by formulating answers to the questions of how technology can be used effectively to create new forms of interdisciplinary art, in addition to connecting artists with audiences.</t>
  </si>
  <si>
    <t>Beall Art Museum is to support exhibitions that explore relationships between the arts, sciences &amp; engineering &amp; to promote new forms of creation &amp; expression.</t>
  </si>
  <si>
    <t>Laguna Art Museum</t>
  </si>
  <si>
    <t>Gray Matter Art Museum</t>
  </si>
  <si>
    <t>Orange County Art Museum</t>
  </si>
  <si>
    <t xml:space="preserve">2001 Calle Frontera, San Clemente, CA </t>
  </si>
  <si>
    <t>https://gmmaca.org/</t>
  </si>
  <si>
    <t>Date night, group</t>
  </si>
  <si>
    <t>The Gray Matter Museum of Art exists to expose our local community to the joy &amp; life that the arts give us all! Our design has been thought out to promote live artist workshops, outreach programs and hands-on art experiences.</t>
  </si>
  <si>
    <t>Gray Matter Art Museum exists to expose our local community to the joy &amp; life that the arts give us all!</t>
  </si>
  <si>
    <t>Hilbert Museum of California Art is a U.S. museum located at Chapman University in Orange, CA. The museum's collection consists of more than 1,000 paintings.</t>
  </si>
  <si>
    <t xml:space="preserve">167 N Atchison St, Orange, CA </t>
  </si>
  <si>
    <t>https://hilbertmuseum.org/</t>
  </si>
  <si>
    <t>Hilbert Art Museum</t>
  </si>
  <si>
    <t>Jack &amp; Shanaz Langson Art Museum</t>
  </si>
  <si>
    <t>The Jack &amp; Shanaz Art Museum is a rotation of exhibits dedicated to American Impressionist art depicting the CA landscape.</t>
  </si>
  <si>
    <t xml:space="preserve">18881 Von Karman Ave #100, Irvine, CA </t>
  </si>
  <si>
    <t>Jack</t>
  </si>
  <si>
    <t>https://imca.uci.edu/</t>
  </si>
  <si>
    <t>The Laguna Art Museum is a museum located in Laguna Beach, California, on Pacific Coast Highway. LAM exclusively features California art and is the oldest cultural institution in the area. It has been known as the Laguna Beach Art Association, as well as the Laguna Beach Museum of Art.</t>
  </si>
  <si>
    <t>Laguna Art Museum is a museum located in Laguna Beach. LAM exclusively features CA art &amp; is the oldest cultural institution in the area.</t>
  </si>
  <si>
    <t xml:space="preserve">307 Cliff Dr, Laguna Beach, CA </t>
  </si>
  <si>
    <t>Laguna</t>
  </si>
  <si>
    <t>https://lagunaartmuseum.org/</t>
  </si>
  <si>
    <t>The Orange County Museum of Art is a modern and contemporary art museum located on the campus of the Segerstrom Center for the Arts in Costa Mesa, California.</t>
  </si>
  <si>
    <t>The Orange County Art Museum is a modern and contemporary art museum located on the campus of the Segerstrom Center for the Arts in Costa Mesa, California.</t>
  </si>
  <si>
    <t xml:space="preserve">3333 Avenue of the Arts, Costa Mesa, CA </t>
  </si>
  <si>
    <t>https://ocma.art/</t>
  </si>
  <si>
    <t>Orange County Center of Contemporary Art</t>
  </si>
  <si>
    <t>117 N Sycamore St, Santa Ana, CA</t>
  </si>
  <si>
    <t>OC Art</t>
  </si>
  <si>
    <t>OC Center</t>
  </si>
  <si>
    <t>https://www.occca.org/</t>
  </si>
  <si>
    <t>The Orange County Center for Contemporary Art (OCCCA) is dedicated to the pursuit of professional excellence and freedom of expression in the arts.Since it's inception in 1980, It provides emerging and established member and guest artists a forum to explore and develop ideas in contemporary art in an atmosphere that promotes experimentation and risk-taking, but without the specter of censorship.In addition, OCCCA develops and actively participates in public educational, outreach and community art services.Located in the heart of Santa Ana's Artist Village, OCCCA presents a variety of programs: films, forums, concerts, workshops, classes and first Saturday artist receptions.</t>
  </si>
  <si>
    <t>Orange County Center for Contemporary Art (OCCCA) is dedicated to the pursuit of professional excellence and freedom of expression in the arts.</t>
  </si>
  <si>
    <t>Date night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</si>
</sst>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13"/>
      <color rgb="FF202124"/>
      <name val="Aptos Narrow"/>
      <family val="2"/>
      <scheme val="minor"/>
    </font>
    <font>
      <sz val="14"/>
      <color theme="1"/>
      <name val="Aptos Narrow"/>
      <family val="2"/>
      <scheme val="minor"/>
    </font>
    <font>
      <sz val="14"/>
      <color rgb="FF202122"/>
      <name val="Aptos Narrow"/>
      <family val="2"/>
      <scheme val="minor"/>
    </font>
    <font>
      <sz val="9"/>
      <color rgb="FF000000"/>
      <name val="Open_sansregular"/>
    </font>
    <font>
      <sz val="9"/>
      <name val="Aptos Narrow"/>
      <family val="2"/>
      <scheme val="minor"/>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3" borderId="1" xfId="0" applyFont="1" applyFill="1" applyBorder="1" applyAlignment="1">
      <alignment horizontal="center"/>
    </xf>
    <xf numFmtId="0" fontId="2" fillId="2" borderId="1" xfId="0" applyFont="1" applyFill="1" applyBorder="1"/>
    <xf numFmtId="0" fontId="2" fillId="2" borderId="1" xfId="0" applyFont="1" applyFill="1" applyBorder="1" applyAlignment="1">
      <alignment wrapText="1"/>
    </xf>
    <xf numFmtId="0" fontId="1" fillId="3" borderId="1" xfId="0" applyFont="1" applyFill="1" applyBorder="1" applyAlignment="1">
      <alignment horizontal="center" wrapText="1"/>
    </xf>
    <xf numFmtId="0" fontId="3" fillId="3" borderId="1" xfId="0" applyFont="1" applyFill="1" applyBorder="1" applyAlignment="1">
      <alignment horizontal="center" wrapText="1"/>
    </xf>
    <xf numFmtId="0" fontId="2" fillId="2" borderId="1" xfId="0" applyFont="1" applyFill="1" applyBorder="1" applyAlignment="1">
      <alignment horizontal="left" wrapText="1"/>
    </xf>
    <xf numFmtId="0" fontId="2" fillId="2" borderId="1" xfId="0" applyFont="1" applyFill="1" applyBorder="1" applyAlignment="1">
      <alignment horizontal="left"/>
    </xf>
    <xf numFmtId="0" fontId="0" fillId="2" borderId="1" xfId="0" applyFill="1" applyBorder="1"/>
    <xf numFmtId="14" fontId="2" fillId="4" borderId="1" xfId="0" applyNumberFormat="1" applyFont="1" applyFill="1" applyBorder="1"/>
    <xf numFmtId="0" fontId="0" fillId="4" borderId="0" xfId="0" applyFill="1"/>
    <xf numFmtId="0" fontId="1" fillId="4" borderId="1" xfId="0" applyFont="1" applyFill="1" applyBorder="1" applyAlignment="1">
      <alignment horizontal="center"/>
    </xf>
    <xf numFmtId="0" fontId="0" fillId="2" borderId="0" xfId="0" applyFill="1"/>
    <xf numFmtId="0" fontId="4" fillId="2" borderId="1" xfId="0" applyFont="1" applyFill="1" applyBorder="1" applyAlignment="1">
      <alignment wrapText="1"/>
    </xf>
    <xf numFmtId="0" fontId="2" fillId="2" borderId="2" xfId="0" applyFont="1" applyFill="1" applyBorder="1" applyAlignment="1">
      <alignment wrapText="1"/>
    </xf>
    <xf numFmtId="0" fontId="0" fillId="0" borderId="1" xfId="0" applyBorder="1"/>
    <xf numFmtId="0" fontId="0" fillId="4" borderId="1" xfId="0" applyFill="1" applyBorder="1"/>
    <xf numFmtId="0" fontId="5" fillId="2" borderId="1" xfId="0" applyFont="1" applyFill="1" applyBorder="1"/>
    <xf numFmtId="0" fontId="5" fillId="2" borderId="1" xfId="0" applyFont="1" applyFill="1" applyBorder="1" applyAlignment="1">
      <alignment wrapText="1"/>
    </xf>
    <xf numFmtId="0" fontId="7" fillId="2" borderId="1" xfId="0" applyFont="1" applyFill="1" applyBorder="1" applyAlignment="1">
      <alignment wrapText="1"/>
    </xf>
    <xf numFmtId="14" fontId="2" fillId="2" borderId="1" xfId="0" applyNumberFormat="1" applyFont="1" applyFill="1" applyBorder="1"/>
    <xf numFmtId="0" fontId="6" fillId="2" borderId="1" xfId="0" applyFont="1" applyFill="1" applyBorder="1"/>
    <xf numFmtId="0" fontId="4" fillId="2" borderId="1" xfId="0" applyFont="1" applyFill="1" applyBorder="1"/>
    <xf numFmtId="0" fontId="8" fillId="2" borderId="1" xfId="0" applyFont="1" applyFill="1" applyBorder="1" applyAlignment="1">
      <alignment wrapText="1"/>
    </xf>
    <xf numFmtId="0" fontId="2" fillId="5" borderId="1" xfId="0" applyFont="1" applyFill="1" applyBorder="1"/>
    <xf numFmtId="0" fontId="2" fillId="5"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E44-3605-449C-AE11-8D4FB01A0BBE}">
  <dimension ref="A1:Q51"/>
  <sheetViews>
    <sheetView tabSelected="1" zoomScale="80" zoomScaleNormal="80" workbookViewId="0">
      <selection activeCell="B3" sqref="B3"/>
    </sheetView>
  </sheetViews>
  <sheetFormatPr defaultRowHeight="14.5"/>
  <cols>
    <col min="1" max="1" width="40.6328125" customWidth="1"/>
    <col min="2" max="2" width="30.6328125" customWidth="1"/>
    <col min="3" max="3" width="37.81640625" customWidth="1"/>
    <col min="4" max="4" width="31" customWidth="1"/>
    <col min="5" max="5" width="6.7265625" customWidth="1"/>
    <col min="6" max="6" width="23.90625" customWidth="1"/>
    <col min="7" max="7" width="11.90625" customWidth="1"/>
    <col min="8" max="8" width="38.453125" customWidth="1"/>
    <col min="9" max="9" width="26" customWidth="1"/>
    <col min="10" max="10" width="40.6328125" customWidth="1"/>
    <col min="11" max="11" width="11.81640625" style="10" customWidth="1"/>
    <col min="12" max="12" width="11.26953125" style="10" customWidth="1"/>
    <col min="13" max="13" width="23" customWidth="1"/>
    <col min="14" max="14" width="19.26953125" customWidth="1"/>
    <col min="15" max="15" width="25.6328125" customWidth="1"/>
    <col min="16" max="16" width="22.453125" customWidth="1"/>
    <col min="17" max="17" width="19.81640625" customWidth="1"/>
    <col min="18" max="18" width="22.1796875" customWidth="1"/>
  </cols>
  <sheetData>
    <row r="1" spans="1:17" ht="34">
      <c r="A1" s="1" t="s">
        <v>0</v>
      </c>
      <c r="B1" s="1" t="s">
        <v>12</v>
      </c>
      <c r="C1" s="1" t="s">
        <v>13</v>
      </c>
      <c r="D1" s="4" t="s">
        <v>14</v>
      </c>
      <c r="E1" s="5" t="s">
        <v>15</v>
      </c>
      <c r="F1" s="1" t="s">
        <v>1</v>
      </c>
      <c r="G1" s="1" t="s">
        <v>2</v>
      </c>
      <c r="H1" s="1" t="s">
        <v>3</v>
      </c>
      <c r="I1" s="4" t="s">
        <v>10</v>
      </c>
      <c r="J1" s="1" t="s">
        <v>4</v>
      </c>
      <c r="K1" s="11" t="s">
        <v>5</v>
      </c>
      <c r="L1" s="11" t="s">
        <v>6</v>
      </c>
      <c r="M1" s="1" t="s">
        <v>7</v>
      </c>
      <c r="N1" s="1" t="s">
        <v>8</v>
      </c>
      <c r="O1" s="1" t="s">
        <v>9</v>
      </c>
      <c r="P1" s="4" t="s">
        <v>16</v>
      </c>
      <c r="Q1" s="1" t="s">
        <v>8</v>
      </c>
    </row>
    <row r="2" spans="1:17" s="12" customFormat="1" ht="59.5">
      <c r="A2" s="17" t="s">
        <v>28</v>
      </c>
      <c r="B2" s="3" t="s">
        <v>30</v>
      </c>
      <c r="C2" s="19" t="s">
        <v>34</v>
      </c>
      <c r="D2" s="19" t="s">
        <v>35</v>
      </c>
      <c r="E2" s="3">
        <f>LEN(D2)</f>
        <v>108</v>
      </c>
      <c r="F2" s="2" t="s">
        <v>18</v>
      </c>
      <c r="G2" s="7">
        <v>90731</v>
      </c>
      <c r="H2" s="22" t="s">
        <v>33</v>
      </c>
      <c r="I2" s="2" t="s">
        <v>36</v>
      </c>
      <c r="J2" s="3" t="s">
        <v>32</v>
      </c>
      <c r="K2" s="20">
        <v>45292</v>
      </c>
      <c r="L2" s="20">
        <v>410534</v>
      </c>
      <c r="M2" s="3" t="s">
        <v>17</v>
      </c>
      <c r="N2" s="3" t="s">
        <v>19</v>
      </c>
      <c r="O2" s="2" t="str">
        <f>I2</f>
        <v>Battleship</v>
      </c>
      <c r="P2" s="2" t="s">
        <v>11</v>
      </c>
      <c r="Q2" s="2" t="str">
        <f>N2</f>
        <v>Museums</v>
      </c>
    </row>
    <row r="3" spans="1:17" s="12" customFormat="1" ht="144" customHeight="1">
      <c r="A3" s="17" t="s">
        <v>25</v>
      </c>
      <c r="B3" s="3" t="s">
        <v>47</v>
      </c>
      <c r="C3" s="19" t="s">
        <v>50</v>
      </c>
      <c r="D3" s="19" t="s">
        <v>51</v>
      </c>
      <c r="E3" s="3">
        <f>LEN(D3)</f>
        <v>159</v>
      </c>
      <c r="F3" s="24" t="s">
        <v>48</v>
      </c>
      <c r="G3" s="7">
        <v>92697</v>
      </c>
      <c r="H3" s="22" t="s">
        <v>45</v>
      </c>
      <c r="I3" s="2" t="s">
        <v>38</v>
      </c>
      <c r="J3" s="3" t="s">
        <v>46</v>
      </c>
      <c r="K3" s="20">
        <v>45292</v>
      </c>
      <c r="L3" s="20">
        <v>410534</v>
      </c>
      <c r="M3" s="25" t="s">
        <v>57</v>
      </c>
      <c r="N3" s="3" t="s">
        <v>19</v>
      </c>
      <c r="O3" s="2" t="str">
        <f>I3</f>
        <v>Beall</v>
      </c>
      <c r="P3" s="2" t="s">
        <v>11</v>
      </c>
      <c r="Q3" s="2" t="str">
        <f>N3</f>
        <v>Museums</v>
      </c>
    </row>
    <row r="4" spans="1:17" s="12" customFormat="1" ht="59.5">
      <c r="A4" s="17" t="s">
        <v>24</v>
      </c>
      <c r="B4" s="3" t="s">
        <v>53</v>
      </c>
      <c r="C4" s="19" t="s">
        <v>58</v>
      </c>
      <c r="D4" s="19" t="s">
        <v>59</v>
      </c>
      <c r="E4" s="3">
        <f>LEN(D4)</f>
        <v>104</v>
      </c>
      <c r="F4" s="24" t="s">
        <v>48</v>
      </c>
      <c r="G4" s="7">
        <v>92673</v>
      </c>
      <c r="H4" s="22" t="s">
        <v>55</v>
      </c>
      <c r="I4" s="2" t="s">
        <v>39</v>
      </c>
      <c r="J4" s="3" t="s">
        <v>56</v>
      </c>
      <c r="K4" s="20">
        <v>45292</v>
      </c>
      <c r="L4" s="20">
        <v>410534</v>
      </c>
      <c r="M4" s="25" t="s">
        <v>57</v>
      </c>
      <c r="N4" s="3" t="s">
        <v>49</v>
      </c>
      <c r="O4" s="2" t="str">
        <f>I4</f>
        <v>Gray</v>
      </c>
      <c r="P4" s="2" t="s">
        <v>85</v>
      </c>
      <c r="Q4" s="2" t="str">
        <f>N4</f>
        <v>Museums - Art</v>
      </c>
    </row>
    <row r="5" spans="1:17" s="12" customFormat="1" ht="72.5" customHeight="1">
      <c r="A5" s="17" t="s">
        <v>23</v>
      </c>
      <c r="B5" s="2" t="s">
        <v>63</v>
      </c>
      <c r="C5" s="19" t="s">
        <v>27</v>
      </c>
      <c r="D5" s="19" t="s">
        <v>60</v>
      </c>
      <c r="E5" s="3">
        <f>LEN(D5)</f>
        <v>157</v>
      </c>
      <c r="F5" s="24" t="s">
        <v>48</v>
      </c>
      <c r="G5" s="7">
        <v>92866</v>
      </c>
      <c r="H5" s="22" t="s">
        <v>61</v>
      </c>
      <c r="I5" s="2" t="s">
        <v>40</v>
      </c>
      <c r="J5" s="3" t="s">
        <v>62</v>
      </c>
      <c r="K5" s="20">
        <v>45292</v>
      </c>
      <c r="L5" s="20">
        <v>410534</v>
      </c>
      <c r="M5" s="25" t="s">
        <v>57</v>
      </c>
      <c r="N5" s="3" t="s">
        <v>49</v>
      </c>
      <c r="O5" s="2" t="str">
        <f>I5</f>
        <v>Hilbert</v>
      </c>
      <c r="P5" s="2" t="s">
        <v>85</v>
      </c>
      <c r="Q5" s="2" t="str">
        <f>N5</f>
        <v>Museums - Art</v>
      </c>
    </row>
    <row r="6" spans="1:17" s="12" customFormat="1" ht="105.5" customHeight="1">
      <c r="A6" s="17" t="s">
        <v>22</v>
      </c>
      <c r="B6" s="3" t="s">
        <v>64</v>
      </c>
      <c r="C6" s="19" t="s">
        <v>65</v>
      </c>
      <c r="D6" s="19" t="s">
        <v>65</v>
      </c>
      <c r="E6" s="3">
        <f>LEN(D6)</f>
        <v>122</v>
      </c>
      <c r="F6" s="24" t="s">
        <v>48</v>
      </c>
      <c r="G6" s="7">
        <v>92612</v>
      </c>
      <c r="H6" s="22" t="s">
        <v>66</v>
      </c>
      <c r="I6" s="2" t="s">
        <v>67</v>
      </c>
      <c r="J6" s="3" t="s">
        <v>68</v>
      </c>
      <c r="K6" s="20">
        <v>45292</v>
      </c>
      <c r="L6" s="20">
        <v>410534</v>
      </c>
      <c r="M6" s="25" t="s">
        <v>57</v>
      </c>
      <c r="N6" s="3" t="s">
        <v>49</v>
      </c>
      <c r="O6" s="2" t="str">
        <f>I6</f>
        <v>Jack</v>
      </c>
      <c r="P6" s="2" t="s">
        <v>85</v>
      </c>
      <c r="Q6" s="2" t="str">
        <f>N6</f>
        <v>Museums - Art</v>
      </c>
    </row>
    <row r="7" spans="1:17" s="12" customFormat="1" ht="82.5">
      <c r="A7" s="17" t="s">
        <v>21</v>
      </c>
      <c r="B7" s="3" t="s">
        <v>52</v>
      </c>
      <c r="C7" s="19" t="s">
        <v>69</v>
      </c>
      <c r="D7" s="19" t="s">
        <v>70</v>
      </c>
      <c r="E7" s="3">
        <f>LEN(D7)</f>
        <v>136</v>
      </c>
      <c r="F7" s="24" t="s">
        <v>48</v>
      </c>
      <c r="G7" s="7">
        <v>92651</v>
      </c>
      <c r="H7" s="22" t="s">
        <v>71</v>
      </c>
      <c r="I7" s="2" t="s">
        <v>72</v>
      </c>
      <c r="J7" s="3" t="s">
        <v>73</v>
      </c>
      <c r="K7" s="20">
        <v>45292</v>
      </c>
      <c r="L7" s="20">
        <v>410534</v>
      </c>
      <c r="M7" s="25" t="s">
        <v>57</v>
      </c>
      <c r="N7" s="3" t="s">
        <v>49</v>
      </c>
      <c r="O7" s="2" t="str">
        <f>I7</f>
        <v>Laguna</v>
      </c>
      <c r="P7" s="2" t="s">
        <v>85</v>
      </c>
      <c r="Q7" s="2" t="str">
        <f>N7</f>
        <v>Museums - Art</v>
      </c>
    </row>
    <row r="8" spans="1:17" s="12" customFormat="1" ht="59.5">
      <c r="A8" s="17" t="s">
        <v>20</v>
      </c>
      <c r="B8" s="3" t="s">
        <v>54</v>
      </c>
      <c r="C8" s="19" t="s">
        <v>74</v>
      </c>
      <c r="D8" s="19" t="s">
        <v>75</v>
      </c>
      <c r="E8" s="3">
        <f>LEN(D8)</f>
        <v>155</v>
      </c>
      <c r="F8" s="24" t="s">
        <v>48</v>
      </c>
      <c r="G8" s="7">
        <v>92626</v>
      </c>
      <c r="H8" s="13" t="s">
        <v>76</v>
      </c>
      <c r="I8" s="2" t="s">
        <v>80</v>
      </c>
      <c r="J8" s="3" t="s">
        <v>77</v>
      </c>
      <c r="K8" s="20">
        <v>45292</v>
      </c>
      <c r="L8" s="20">
        <v>410534</v>
      </c>
      <c r="M8" s="25" t="s">
        <v>57</v>
      </c>
      <c r="N8" s="3" t="s">
        <v>49</v>
      </c>
      <c r="O8" s="2" t="str">
        <f>I8</f>
        <v>OC Art</v>
      </c>
      <c r="P8" s="2" t="s">
        <v>85</v>
      </c>
      <c r="Q8" s="2" t="str">
        <f>N8</f>
        <v>Museums - Art</v>
      </c>
    </row>
    <row r="9" spans="1:17" s="12" customFormat="1" ht="174.5">
      <c r="A9" s="18" t="s">
        <v>26</v>
      </c>
      <c r="B9" s="3" t="s">
        <v>78</v>
      </c>
      <c r="C9" s="19" t="s">
        <v>83</v>
      </c>
      <c r="D9" s="19" t="s">
        <v>84</v>
      </c>
      <c r="E9" s="3">
        <f>LEN(D9)</f>
        <v>143</v>
      </c>
      <c r="F9" s="24" t="s">
        <v>48</v>
      </c>
      <c r="G9" s="7">
        <v>92701</v>
      </c>
      <c r="H9" s="13" t="s">
        <v>79</v>
      </c>
      <c r="I9" s="2" t="s">
        <v>81</v>
      </c>
      <c r="J9" s="3" t="s">
        <v>82</v>
      </c>
      <c r="K9" s="20">
        <v>45292</v>
      </c>
      <c r="L9" s="20">
        <v>410534</v>
      </c>
      <c r="M9" s="25" t="s">
        <v>57</v>
      </c>
      <c r="N9" s="3" t="s">
        <v>49</v>
      </c>
      <c r="O9" s="2" t="str">
        <f>I9</f>
        <v>OC Center</v>
      </c>
      <c r="P9" s="2" t="s">
        <v>85</v>
      </c>
      <c r="Q9" s="2" t="str">
        <f>N9</f>
        <v>Museums - Art</v>
      </c>
    </row>
    <row r="10" spans="1:17" s="12" customFormat="1" ht="133.5">
      <c r="A10" s="17" t="s">
        <v>29</v>
      </c>
      <c r="B10" s="3" t="s">
        <v>31</v>
      </c>
      <c r="C10" s="19" t="s">
        <v>43</v>
      </c>
      <c r="D10" s="23" t="s">
        <v>44</v>
      </c>
      <c r="E10" s="14">
        <f>LEN(D10)</f>
        <v>155</v>
      </c>
      <c r="F10" s="2" t="s">
        <v>18</v>
      </c>
      <c r="G10" s="7">
        <v>90802</v>
      </c>
      <c r="H10" s="22" t="s">
        <v>42</v>
      </c>
      <c r="I10" s="2" t="s">
        <v>37</v>
      </c>
      <c r="J10" s="3" t="s">
        <v>41</v>
      </c>
      <c r="K10" s="20">
        <v>45292</v>
      </c>
      <c r="L10" s="20">
        <v>410534</v>
      </c>
      <c r="M10" s="3" t="s">
        <v>17</v>
      </c>
      <c r="N10" s="3" t="s">
        <v>19</v>
      </c>
      <c r="O10" s="2" t="str">
        <f>I10</f>
        <v>Queen</v>
      </c>
      <c r="P10" s="2" t="s">
        <v>11</v>
      </c>
      <c r="Q10" s="2" t="str">
        <f>N10</f>
        <v>Museums</v>
      </c>
    </row>
    <row r="11" spans="1:17" s="12" customFormat="1" ht="76" customHeight="1">
      <c r="A11" s="17"/>
      <c r="B11" s="3"/>
      <c r="C11" s="19"/>
      <c r="D11" s="19"/>
      <c r="E11" s="3"/>
      <c r="F11" s="8"/>
      <c r="G11" s="7"/>
      <c r="H11" s="3"/>
      <c r="I11" s="2"/>
      <c r="J11" s="3"/>
      <c r="K11" s="20"/>
      <c r="L11" s="20"/>
      <c r="M11" s="3"/>
      <c r="N11" s="3"/>
      <c r="O11" s="2"/>
      <c r="P11" s="2"/>
      <c r="Q11" s="2"/>
    </row>
    <row r="12" spans="1:17" s="12" customFormat="1" ht="58" customHeight="1">
      <c r="A12" s="17"/>
      <c r="B12" s="3"/>
      <c r="C12" s="19"/>
      <c r="D12" s="19"/>
      <c r="E12" s="3"/>
      <c r="F12" s="8"/>
      <c r="G12" s="7"/>
      <c r="H12" s="3"/>
      <c r="I12" s="2"/>
      <c r="J12" s="3"/>
      <c r="K12" s="20"/>
      <c r="L12" s="20"/>
      <c r="M12" s="3"/>
      <c r="N12" s="3"/>
      <c r="O12" s="2"/>
      <c r="P12" s="2"/>
      <c r="Q12" s="2"/>
    </row>
    <row r="13" spans="1:17" s="12" customFormat="1" ht="52.5" customHeight="1">
      <c r="A13" s="17"/>
      <c r="B13" s="2"/>
      <c r="C13" s="19"/>
      <c r="D13" s="19"/>
      <c r="E13" s="3"/>
      <c r="F13" s="8"/>
      <c r="G13" s="7"/>
      <c r="H13" s="3"/>
      <c r="I13" s="2"/>
      <c r="J13" s="3"/>
      <c r="K13" s="20"/>
      <c r="L13" s="20"/>
      <c r="M13" s="3"/>
      <c r="N13" s="3"/>
      <c r="O13" s="2"/>
      <c r="P13" s="2"/>
      <c r="Q13" s="2"/>
    </row>
    <row r="14" spans="1:17" s="12" customFormat="1" ht="89" customHeight="1">
      <c r="A14" s="17"/>
      <c r="B14" s="3"/>
      <c r="C14" s="19"/>
      <c r="D14" s="19"/>
      <c r="E14" s="3"/>
      <c r="F14" s="8"/>
      <c r="G14" s="7"/>
      <c r="H14" s="3"/>
      <c r="I14" s="2"/>
      <c r="J14" s="3"/>
      <c r="K14" s="20"/>
      <c r="L14" s="20"/>
      <c r="M14" s="3"/>
      <c r="N14" s="3"/>
      <c r="O14" s="2"/>
      <c r="P14" s="2"/>
      <c r="Q14" s="2"/>
    </row>
    <row r="15" spans="1:17" s="12" customFormat="1" ht="53.5" customHeight="1">
      <c r="A15" s="17"/>
      <c r="B15" s="3"/>
      <c r="C15" s="19"/>
      <c r="D15" s="19"/>
      <c r="E15" s="3"/>
      <c r="F15" s="8"/>
      <c r="G15" s="7"/>
      <c r="H15" s="3"/>
      <c r="I15" s="2"/>
      <c r="J15" s="3"/>
      <c r="K15" s="20"/>
      <c r="L15" s="20"/>
      <c r="M15" s="3"/>
      <c r="N15" s="3"/>
      <c r="O15" s="2"/>
      <c r="P15" s="2"/>
      <c r="Q15" s="2"/>
    </row>
    <row r="16" spans="1:17" s="12" customFormat="1" ht="57" customHeight="1">
      <c r="A16" s="17"/>
      <c r="B16" s="3"/>
      <c r="C16" s="19"/>
      <c r="D16" s="19"/>
      <c r="E16" s="3"/>
      <c r="F16" s="8"/>
      <c r="G16" s="7"/>
      <c r="H16" s="3"/>
      <c r="I16" s="2"/>
      <c r="J16" s="3"/>
      <c r="K16" s="20"/>
      <c r="L16" s="20"/>
      <c r="M16" s="3"/>
      <c r="N16" s="3"/>
      <c r="O16" s="2"/>
      <c r="P16" s="2"/>
      <c r="Q16" s="2"/>
    </row>
    <row r="17" spans="1:17" s="12" customFormat="1" ht="124.5" customHeight="1">
      <c r="A17" s="17"/>
      <c r="B17" s="3"/>
      <c r="C17" s="19"/>
      <c r="D17" s="19"/>
      <c r="E17" s="3"/>
      <c r="F17" s="8"/>
      <c r="G17" s="7"/>
      <c r="H17" s="3"/>
      <c r="I17" s="2"/>
      <c r="J17" s="3"/>
      <c r="K17" s="20"/>
      <c r="L17" s="20"/>
      <c r="M17" s="3"/>
      <c r="N17" s="3"/>
      <c r="O17" s="2"/>
      <c r="P17" s="2"/>
      <c r="Q17" s="2"/>
    </row>
    <row r="18" spans="1:17" s="12" customFormat="1" ht="18.5">
      <c r="A18" s="17"/>
      <c r="B18" s="3"/>
      <c r="C18" s="19"/>
      <c r="D18" s="19"/>
      <c r="E18" s="3"/>
      <c r="F18" s="8"/>
      <c r="G18" s="7"/>
      <c r="H18" s="3"/>
      <c r="I18" s="2"/>
      <c r="J18" s="3"/>
      <c r="K18" s="20"/>
      <c r="L18" s="20"/>
      <c r="M18" s="3"/>
      <c r="N18" s="3"/>
      <c r="O18" s="2"/>
      <c r="P18" s="2"/>
      <c r="Q18" s="2"/>
    </row>
    <row r="19" spans="1:17" s="12" customFormat="1" ht="18.5">
      <c r="A19" s="17"/>
      <c r="B19" s="3"/>
      <c r="C19" s="19"/>
      <c r="D19" s="19"/>
      <c r="E19" s="3"/>
      <c r="F19" s="8"/>
      <c r="G19" s="7"/>
      <c r="H19" s="3"/>
      <c r="I19" s="2"/>
      <c r="J19" s="3"/>
      <c r="K19" s="20"/>
      <c r="L19" s="20"/>
      <c r="M19" s="3"/>
      <c r="N19" s="3"/>
      <c r="O19" s="2"/>
      <c r="P19" s="2"/>
      <c r="Q19" s="2"/>
    </row>
    <row r="20" spans="1:17" s="12" customFormat="1" ht="18.5">
      <c r="A20" s="17"/>
      <c r="B20" s="3"/>
      <c r="C20" s="19"/>
      <c r="D20" s="19"/>
      <c r="E20" s="3"/>
      <c r="F20" s="8"/>
      <c r="G20" s="7"/>
      <c r="H20" s="3"/>
      <c r="I20" s="2"/>
      <c r="J20" s="3"/>
      <c r="K20" s="20"/>
      <c r="L20" s="20"/>
      <c r="M20" s="3"/>
      <c r="N20" s="3"/>
      <c r="O20" s="2"/>
      <c r="P20" s="2"/>
      <c r="Q20" s="2"/>
    </row>
    <row r="21" spans="1:17" s="12" customFormat="1" ht="18.5">
      <c r="A21" s="21"/>
      <c r="B21" s="3"/>
      <c r="C21" s="19"/>
      <c r="D21" s="19"/>
      <c r="E21" s="3"/>
      <c r="F21" s="8"/>
      <c r="G21" s="7"/>
      <c r="H21" s="7"/>
      <c r="I21" s="3"/>
      <c r="J21" s="3"/>
      <c r="K21" s="20"/>
      <c r="L21" s="20"/>
      <c r="M21" s="3"/>
      <c r="N21" s="3"/>
      <c r="O21" s="2"/>
      <c r="P21" s="2"/>
      <c r="Q21" s="2"/>
    </row>
    <row r="22" spans="1:17" s="12" customFormat="1" ht="18.5">
      <c r="A22" s="21"/>
      <c r="B22" s="3"/>
      <c r="C22" s="19"/>
      <c r="D22" s="19"/>
      <c r="E22" s="3"/>
      <c r="F22" s="8"/>
      <c r="G22" s="7"/>
      <c r="H22" s="6"/>
      <c r="I22" s="3"/>
      <c r="J22" s="3"/>
      <c r="K22" s="20"/>
      <c r="L22" s="20"/>
      <c r="M22" s="3"/>
      <c r="N22" s="3"/>
      <c r="O22" s="2"/>
      <c r="P22" s="2"/>
      <c r="Q22" s="2"/>
    </row>
    <row r="23" spans="1:17" s="12" customFormat="1" ht="18.5">
      <c r="A23" s="17"/>
      <c r="B23" s="2"/>
      <c r="C23" s="19"/>
      <c r="D23" s="19"/>
      <c r="E23" s="3"/>
      <c r="F23" s="8"/>
      <c r="G23" s="7"/>
      <c r="H23" s="6"/>
      <c r="I23" s="2"/>
      <c r="J23" s="3"/>
      <c r="K23" s="20"/>
      <c r="L23" s="20"/>
      <c r="M23" s="3"/>
      <c r="N23" s="3"/>
      <c r="O23" s="2"/>
      <c r="P23" s="2"/>
      <c r="Q23" s="2"/>
    </row>
    <row r="24" spans="1:17" s="12" customFormat="1" ht="18.5">
      <c r="A24" s="17"/>
      <c r="B24" s="3"/>
      <c r="C24" s="19"/>
      <c r="D24" s="19"/>
      <c r="E24" s="3"/>
      <c r="F24" s="8"/>
      <c r="G24" s="7"/>
      <c r="H24" s="6"/>
      <c r="I24" s="2"/>
      <c r="J24" s="3"/>
      <c r="K24" s="20"/>
      <c r="L24" s="20"/>
      <c r="M24" s="3"/>
      <c r="N24" s="3"/>
      <c r="O24" s="2"/>
      <c r="P24" s="2"/>
      <c r="Q24" s="2"/>
    </row>
    <row r="25" spans="1:17" s="12" customFormat="1" ht="18.5">
      <c r="A25" s="17"/>
      <c r="B25" s="3"/>
      <c r="C25" s="19"/>
      <c r="D25" s="19"/>
      <c r="E25" s="3"/>
      <c r="F25" s="8"/>
      <c r="G25" s="7"/>
      <c r="H25" s="6"/>
      <c r="I25" s="2"/>
      <c r="J25" s="3"/>
      <c r="K25" s="20"/>
      <c r="L25" s="20"/>
      <c r="M25" s="3"/>
      <c r="N25" s="3"/>
      <c r="O25" s="2"/>
      <c r="P25" s="2"/>
      <c r="Q25" s="2"/>
    </row>
    <row r="26" spans="1:17" s="12" customFormat="1" ht="18.5">
      <c r="A26" s="17"/>
      <c r="B26" s="3"/>
      <c r="C26" s="19"/>
      <c r="D26" s="19"/>
      <c r="E26" s="3"/>
      <c r="F26" s="8"/>
      <c r="G26" s="7"/>
      <c r="H26" s="6"/>
      <c r="I26" s="2"/>
      <c r="J26" s="3"/>
      <c r="K26" s="20"/>
      <c r="L26" s="20"/>
      <c r="M26" s="3"/>
      <c r="N26" s="3"/>
      <c r="O26" s="2"/>
      <c r="P26" s="2"/>
      <c r="Q26" s="2"/>
    </row>
    <row r="27" spans="1:17" s="12" customFormat="1" ht="18.5">
      <c r="A27" s="17"/>
      <c r="B27" s="3"/>
      <c r="C27" s="19"/>
      <c r="D27" s="19"/>
      <c r="E27" s="3"/>
      <c r="F27" s="8"/>
      <c r="G27" s="7"/>
      <c r="H27" s="6"/>
      <c r="I27" s="2"/>
      <c r="J27" s="3"/>
      <c r="K27" s="20"/>
      <c r="L27" s="20"/>
      <c r="M27" s="3"/>
      <c r="N27" s="3"/>
      <c r="O27" s="2"/>
      <c r="P27" s="2"/>
      <c r="Q27" s="2"/>
    </row>
    <row r="28" spans="1:17" s="12" customFormat="1" ht="18.5">
      <c r="A28" s="17"/>
      <c r="B28" s="3"/>
      <c r="C28" s="19"/>
      <c r="D28" s="19"/>
      <c r="E28" s="3"/>
      <c r="F28" s="8"/>
      <c r="G28" s="7"/>
      <c r="H28" s="6"/>
      <c r="I28" s="2"/>
      <c r="J28" s="3"/>
      <c r="K28" s="20"/>
      <c r="L28" s="20"/>
      <c r="M28" s="3"/>
      <c r="N28" s="3"/>
      <c r="O28" s="2"/>
      <c r="P28" s="2"/>
      <c r="Q28" s="2"/>
    </row>
    <row r="29" spans="1:17" s="12" customFormat="1" ht="18.5">
      <c r="A29" s="21"/>
      <c r="B29" s="3"/>
      <c r="C29" s="19"/>
      <c r="D29" s="19"/>
      <c r="E29" s="3"/>
      <c r="F29" s="8"/>
      <c r="G29" s="7"/>
      <c r="H29" s="6"/>
      <c r="I29" s="2"/>
      <c r="J29" s="3"/>
      <c r="K29" s="20"/>
      <c r="L29" s="20"/>
      <c r="M29" s="3"/>
      <c r="N29" s="3"/>
      <c r="O29" s="2"/>
      <c r="P29" s="2"/>
      <c r="Q29" s="2"/>
    </row>
    <row r="30" spans="1:17" s="12" customFormat="1" ht="18.5">
      <c r="A30" s="18"/>
      <c r="B30" s="3"/>
      <c r="C30" s="19"/>
      <c r="D30" s="19"/>
      <c r="E30" s="3"/>
      <c r="F30" s="8"/>
      <c r="G30" s="7"/>
      <c r="H30" s="6"/>
      <c r="I30" s="2"/>
      <c r="J30" s="3"/>
      <c r="K30" s="20"/>
      <c r="L30" s="20"/>
      <c r="M30" s="3"/>
      <c r="N30" s="3"/>
      <c r="O30" s="2"/>
      <c r="P30" s="2"/>
      <c r="Q30" s="2"/>
    </row>
    <row r="31" spans="1:17" s="12" customFormat="1" ht="18.5">
      <c r="A31" s="18"/>
      <c r="B31" s="3"/>
      <c r="C31" s="19"/>
      <c r="D31" s="19"/>
      <c r="E31" s="3"/>
      <c r="F31" s="8"/>
      <c r="G31" s="7"/>
      <c r="H31" s="6"/>
      <c r="I31" s="2"/>
      <c r="J31" s="3"/>
      <c r="K31" s="20"/>
      <c r="L31" s="20"/>
      <c r="M31" s="3"/>
      <c r="N31" s="3"/>
      <c r="O31" s="2"/>
      <c r="P31" s="2"/>
      <c r="Q31" s="2"/>
    </row>
    <row r="32" spans="1:17" s="12" customFormat="1" ht="18.5">
      <c r="A32" s="17"/>
      <c r="B32" s="3"/>
      <c r="C32" s="19"/>
      <c r="D32" s="19"/>
      <c r="E32" s="3"/>
      <c r="F32" s="8"/>
      <c r="G32" s="7"/>
      <c r="H32" s="6"/>
      <c r="I32" s="2"/>
      <c r="J32" s="3"/>
      <c r="K32" s="20"/>
      <c r="L32" s="20"/>
      <c r="M32" s="3"/>
      <c r="N32" s="3"/>
      <c r="O32" s="2"/>
      <c r="P32" s="2"/>
      <c r="Q32" s="2"/>
    </row>
    <row r="33" spans="1:17" s="12" customFormat="1" ht="18.5">
      <c r="A33" s="17"/>
      <c r="B33" s="2"/>
      <c r="C33" s="19"/>
      <c r="D33" s="19"/>
      <c r="E33" s="3"/>
      <c r="F33" s="8"/>
      <c r="G33" s="7"/>
      <c r="H33" s="6"/>
      <c r="I33" s="2"/>
      <c r="J33" s="3"/>
      <c r="K33" s="20"/>
      <c r="L33" s="20"/>
      <c r="M33" s="3"/>
      <c r="N33" s="3"/>
      <c r="O33" s="2"/>
      <c r="P33" s="2"/>
      <c r="Q33" s="2"/>
    </row>
    <row r="34" spans="1:17" s="12" customFormat="1" ht="18.5">
      <c r="A34" s="17"/>
      <c r="B34" s="3"/>
      <c r="C34" s="19"/>
      <c r="D34" s="19"/>
      <c r="E34" s="3"/>
      <c r="F34" s="8"/>
      <c r="G34" s="7"/>
      <c r="H34" s="6"/>
      <c r="I34" s="2"/>
      <c r="J34" s="3"/>
      <c r="K34" s="20"/>
      <c r="L34" s="20"/>
      <c r="M34" s="3"/>
      <c r="N34" s="3"/>
      <c r="O34" s="2"/>
      <c r="P34" s="2"/>
      <c r="Q34" s="2"/>
    </row>
    <row r="35" spans="1:17" s="12" customFormat="1" ht="18.5">
      <c r="A35" s="18"/>
      <c r="B35" s="3"/>
      <c r="C35" s="19"/>
      <c r="D35" s="19"/>
      <c r="E35" s="3"/>
      <c r="F35" s="8"/>
      <c r="G35" s="7"/>
      <c r="H35" s="6"/>
      <c r="I35" s="2"/>
      <c r="J35" s="3"/>
      <c r="K35" s="20"/>
      <c r="L35" s="20"/>
      <c r="M35" s="3"/>
      <c r="N35" s="3"/>
      <c r="O35" s="2"/>
      <c r="P35" s="2"/>
      <c r="Q35" s="2"/>
    </row>
    <row r="36" spans="1:17" s="12" customFormat="1" ht="18.5">
      <c r="A36" s="17"/>
      <c r="B36" s="3"/>
      <c r="C36" s="19"/>
      <c r="D36" s="19"/>
      <c r="E36" s="3"/>
      <c r="F36" s="8"/>
      <c r="G36" s="7"/>
      <c r="H36" s="6"/>
      <c r="I36" s="2"/>
      <c r="J36" s="3"/>
      <c r="K36" s="20"/>
      <c r="L36" s="20"/>
      <c r="M36" s="3"/>
      <c r="N36" s="3"/>
      <c r="O36" s="2"/>
      <c r="P36" s="2"/>
      <c r="Q36" s="2"/>
    </row>
    <row r="37" spans="1:17" s="12" customFormat="1" ht="18.5">
      <c r="A37" s="17"/>
      <c r="B37" s="3"/>
      <c r="C37" s="19"/>
      <c r="D37" s="19"/>
      <c r="E37" s="3"/>
      <c r="F37" s="8"/>
      <c r="G37" s="7"/>
      <c r="H37" s="6"/>
      <c r="I37" s="2"/>
      <c r="J37" s="3"/>
      <c r="K37" s="20"/>
      <c r="L37" s="20"/>
      <c r="M37" s="3"/>
      <c r="N37" s="3"/>
      <c r="O37" s="2"/>
      <c r="P37" s="2"/>
      <c r="Q37" s="2"/>
    </row>
    <row r="38" spans="1:17" s="12" customFormat="1" ht="18.5">
      <c r="A38" s="18"/>
      <c r="B38" s="3"/>
      <c r="C38" s="19"/>
      <c r="D38" s="19"/>
      <c r="E38" s="3"/>
      <c r="F38" s="8"/>
      <c r="G38" s="7"/>
      <c r="H38" s="6"/>
      <c r="I38" s="2"/>
      <c r="J38" s="3"/>
      <c r="K38" s="20"/>
      <c r="L38" s="20"/>
      <c r="M38" s="3"/>
      <c r="N38" s="3"/>
      <c r="O38" s="2"/>
      <c r="P38" s="2"/>
      <c r="Q38" s="2"/>
    </row>
    <row r="39" spans="1:17" s="12" customFormat="1" ht="18.5">
      <c r="A39" s="17"/>
      <c r="B39" s="3"/>
      <c r="C39" s="19"/>
      <c r="D39" s="19"/>
      <c r="E39" s="3"/>
      <c r="F39" s="8"/>
      <c r="G39" s="7"/>
      <c r="H39" s="6"/>
      <c r="I39" s="2"/>
      <c r="J39" s="3"/>
      <c r="K39" s="20"/>
      <c r="L39" s="20"/>
      <c r="M39" s="3"/>
      <c r="N39" s="3"/>
      <c r="O39" s="2"/>
      <c r="P39" s="2"/>
      <c r="Q39" s="2"/>
    </row>
    <row r="40" spans="1:17" s="12" customFormat="1" ht="18.5">
      <c r="A40" s="17"/>
      <c r="B40" s="3"/>
      <c r="C40" s="19"/>
      <c r="D40" s="19"/>
      <c r="E40" s="3"/>
      <c r="F40" s="8"/>
      <c r="G40" s="7"/>
      <c r="H40" s="6"/>
      <c r="I40" s="2"/>
      <c r="J40" s="3"/>
      <c r="K40" s="20"/>
      <c r="L40" s="20"/>
      <c r="M40" s="3"/>
      <c r="N40" s="3"/>
      <c r="O40" s="2"/>
      <c r="P40" s="2"/>
      <c r="Q40" s="2"/>
    </row>
    <row r="41" spans="1:17" s="12" customFormat="1" ht="18.5">
      <c r="A41" s="21"/>
      <c r="B41" s="3"/>
      <c r="C41" s="19"/>
      <c r="D41" s="19"/>
      <c r="E41" s="3"/>
      <c r="F41" s="8"/>
      <c r="G41" s="7"/>
      <c r="H41" s="6"/>
      <c r="I41" s="2"/>
      <c r="J41" s="3"/>
      <c r="K41" s="20"/>
      <c r="L41" s="20"/>
      <c r="M41" s="3"/>
      <c r="N41" s="3"/>
      <c r="O41" s="2"/>
      <c r="P41" s="2"/>
      <c r="Q41" s="2"/>
    </row>
    <row r="42" spans="1:17" s="12" customFormat="1" ht="18.5">
      <c r="A42" s="17"/>
      <c r="B42" s="3"/>
      <c r="C42" s="19"/>
      <c r="D42" s="19"/>
      <c r="E42" s="3"/>
      <c r="F42" s="8"/>
      <c r="G42" s="7"/>
      <c r="H42" s="6"/>
      <c r="I42" s="2"/>
      <c r="J42" s="3"/>
      <c r="K42" s="20"/>
      <c r="L42" s="20"/>
      <c r="M42" s="3"/>
      <c r="N42" s="3"/>
      <c r="O42" s="2"/>
      <c r="P42" s="2"/>
      <c r="Q42" s="2"/>
    </row>
    <row r="43" spans="1:17" s="12" customFormat="1" ht="18.5">
      <c r="A43" s="17"/>
      <c r="B43" s="3"/>
      <c r="C43" s="19"/>
      <c r="D43" s="19"/>
      <c r="E43" s="3"/>
      <c r="F43" s="8"/>
      <c r="G43" s="7"/>
      <c r="H43" s="6"/>
      <c r="I43" s="2"/>
      <c r="J43" s="3"/>
      <c r="K43" s="20"/>
      <c r="L43" s="20"/>
      <c r="M43" s="3"/>
      <c r="N43" s="3"/>
      <c r="O43" s="2"/>
      <c r="P43" s="2"/>
      <c r="Q43" s="2"/>
    </row>
    <row r="44" spans="1:17" s="12" customFormat="1" ht="133" customHeight="1">
      <c r="A44" s="18"/>
      <c r="B44" s="3"/>
      <c r="C44" s="19"/>
      <c r="D44" s="19"/>
      <c r="E44" s="3"/>
      <c r="F44" s="8"/>
      <c r="G44" s="7"/>
      <c r="H44" s="6"/>
      <c r="I44" s="2"/>
      <c r="J44" s="3"/>
      <c r="K44" s="20"/>
      <c r="L44" s="20"/>
      <c r="M44" s="3"/>
      <c r="N44" s="3"/>
      <c r="O44" s="2"/>
      <c r="P44" s="2"/>
      <c r="Q44" s="2"/>
    </row>
    <row r="45" spans="1:17" s="12" customFormat="1" ht="18.5">
      <c r="A45" s="17"/>
      <c r="B45" s="3"/>
      <c r="C45" s="19"/>
      <c r="D45" s="19"/>
      <c r="E45" s="3"/>
      <c r="F45" s="7"/>
      <c r="G45" s="7"/>
      <c r="H45" s="6"/>
      <c r="I45" s="2"/>
      <c r="J45" s="3"/>
      <c r="K45" s="20"/>
      <c r="L45" s="20"/>
      <c r="M45" s="3"/>
      <c r="N45" s="3"/>
      <c r="O45" s="2"/>
      <c r="P45" s="2"/>
      <c r="Q45" s="2"/>
    </row>
    <row r="46" spans="1:17" s="12" customFormat="1" ht="18.5">
      <c r="A46" s="17"/>
      <c r="B46" s="3"/>
      <c r="C46" s="19"/>
      <c r="D46" s="19"/>
      <c r="E46" s="3"/>
      <c r="F46" s="7"/>
      <c r="G46" s="6"/>
      <c r="H46" s="7"/>
      <c r="I46" s="2"/>
      <c r="J46" s="3"/>
      <c r="K46" s="20"/>
      <c r="L46" s="20"/>
      <c r="M46" s="3"/>
      <c r="N46" s="3"/>
      <c r="O46" s="2"/>
      <c r="P46" s="2"/>
      <c r="Q46" s="2"/>
    </row>
    <row r="47" spans="1:17" s="12" customFormat="1" ht="18.5">
      <c r="A47" s="17"/>
      <c r="B47" s="3"/>
      <c r="C47" s="19"/>
      <c r="D47" s="19"/>
      <c r="E47" s="3"/>
      <c r="F47" s="8"/>
      <c r="G47" s="6"/>
      <c r="H47" s="7"/>
      <c r="I47" s="2"/>
      <c r="J47" s="3"/>
      <c r="K47" s="20"/>
      <c r="L47" s="20"/>
      <c r="M47" s="3"/>
      <c r="N47" s="3"/>
      <c r="O47" s="2"/>
      <c r="P47" s="2"/>
      <c r="Q47" s="2"/>
    </row>
    <row r="48" spans="1:17" s="12" customFormat="1" ht="18.5">
      <c r="A48" s="21"/>
      <c r="B48" s="3"/>
      <c r="C48" s="19"/>
      <c r="D48" s="19"/>
      <c r="E48" s="3"/>
      <c r="F48" s="8"/>
      <c r="G48" s="6"/>
      <c r="H48" s="7"/>
      <c r="I48" s="8"/>
      <c r="J48" s="3"/>
      <c r="K48" s="20"/>
      <c r="L48" s="20"/>
      <c r="M48" s="3"/>
      <c r="N48" s="3"/>
      <c r="O48" s="2"/>
      <c r="P48" s="2"/>
      <c r="Q48" s="2"/>
    </row>
    <row r="49" spans="1:17" ht="17">
      <c r="A49" s="15"/>
      <c r="B49" s="15"/>
      <c r="C49" s="15"/>
      <c r="D49" s="15"/>
      <c r="E49" s="14"/>
      <c r="F49" s="8"/>
      <c r="G49" s="15"/>
      <c r="H49" s="15"/>
      <c r="I49" s="15"/>
      <c r="J49" s="15"/>
      <c r="K49" s="9"/>
      <c r="L49" s="9"/>
      <c r="M49" s="3"/>
      <c r="N49" s="3"/>
      <c r="O49" s="2"/>
      <c r="P49" s="2"/>
      <c r="Q49" s="2"/>
    </row>
    <row r="50" spans="1:17" ht="17">
      <c r="A50" s="15"/>
      <c r="B50" s="15"/>
      <c r="C50" s="15"/>
      <c r="D50" s="15"/>
      <c r="E50" s="15"/>
      <c r="F50" s="15"/>
      <c r="G50" s="15"/>
      <c r="H50" s="15"/>
      <c r="I50" s="15"/>
      <c r="J50" s="15"/>
      <c r="K50" s="9"/>
      <c r="L50" s="9"/>
      <c r="M50" s="3"/>
      <c r="N50" s="3"/>
      <c r="O50" s="2"/>
      <c r="P50" s="2"/>
      <c r="Q50" s="2"/>
    </row>
    <row r="51" spans="1:17">
      <c r="A51" s="15"/>
      <c r="B51" s="15"/>
      <c r="C51" s="15"/>
      <c r="D51" s="15"/>
      <c r="E51" s="15"/>
      <c r="F51" s="15"/>
      <c r="G51" s="15"/>
      <c r="H51" s="15"/>
      <c r="I51" s="15"/>
      <c r="J51" s="15"/>
      <c r="K51" s="16"/>
      <c r="L51" s="16"/>
      <c r="M51" s="15"/>
      <c r="N51" s="15"/>
      <c r="O51" s="15"/>
      <c r="P51" s="15"/>
      <c r="Q51" s="15"/>
    </row>
  </sheetData>
  <autoFilter ref="A1:Q36" xr:uid="{63DA3E44-3605-449C-AE11-8D4FB01A0BBE}">
    <sortState xmlns:xlrd2="http://schemas.microsoft.com/office/spreadsheetml/2017/richdata2" ref="A2:Q36">
      <sortCondition ref="B1:B36"/>
    </sortState>
  </autoFilter>
  <pageMargins left="0.25" right="0.25" top="0.75" bottom="0.75" header="0.3" footer="0.3"/>
  <pageSetup scale="85"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Museums</vt:lpstr>
      <vt:lpstr>Museums!Print_Area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2024-07-15T01:55:09Z</cp:lastPrinted>
  <dcterms:created xsi:type="dcterms:W3CDTF">2024-03-17T21:07:34Z</dcterms:created>
  <dcterms:modified xsi:type="dcterms:W3CDTF">2024-07-20T16:22:15Z</dcterms:modified>
</cp:coreProperties>
</file>