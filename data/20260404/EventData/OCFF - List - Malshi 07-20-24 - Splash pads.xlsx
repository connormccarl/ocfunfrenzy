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8981b39d99169f/Desktop/- OCFF/Fiverr/"/>
    </mc:Choice>
  </mc:AlternateContent>
  <xr:revisionPtr revIDLastSave="420" documentId="8_{7984150F-A31C-4E65-85CA-D77E9340AA9E}" xr6:coauthVersionLast="47" xr6:coauthVersionMax="47" xr10:uidLastSave="{AC845C59-F881-488F-A1E2-1BF0ECA88237}"/>
  <bookViews>
    <workbookView xWindow="-110" yWindow="-110" windowWidth="19420" windowHeight="11500" xr2:uid="{3F4AF157-4EA4-44F9-9369-4ED39BF1C451}"/>
  </bookViews>
  <sheets>
    <sheet name="Splash pads" sheetId="2" r:id="rId1"/>
  </sheets>
  <definedNames>
    <definedName name="_xlnm._FilterDatabase" localSheetId="0" hidden="1">'Splash pads'!$A$1:$Q$35</definedName>
    <definedName name="_xlnm.Print_Area" localSheetId="0">'Splash pads'!$A$1:$B$48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2" l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</calcChain>
</file>

<file path=xl/sharedStrings.xml><?xml version="1.0" encoding="utf-8"?>
<sst xmlns="http://schemas.openxmlformats.org/spreadsheetml/2006/main" count="292" uniqueCount="158">
  <si>
    <t>Event</t>
  </si>
  <si>
    <t>Focus Keyphrase</t>
  </si>
  <si>
    <t>Zip code</t>
  </si>
  <si>
    <t>Event location</t>
  </si>
  <si>
    <t>Registration email/URL</t>
  </si>
  <si>
    <t>Start date</t>
  </si>
  <si>
    <t>End date</t>
  </si>
  <si>
    <t>Event category</t>
  </si>
  <si>
    <t>Event type</t>
  </si>
  <si>
    <t>Event thumbnail</t>
  </si>
  <si>
    <t>Banner name
(in folder, to upload)</t>
  </si>
  <si>
    <t>Family fun</t>
  </si>
  <si>
    <t>Title</t>
  </si>
  <si>
    <t>Top Box</t>
  </si>
  <si>
    <t>Meta Description 
(160 max words)</t>
  </si>
  <si>
    <t>Cell count</t>
  </si>
  <si>
    <t>Event category
(only 1)</t>
  </si>
  <si>
    <t>Laguna</t>
  </si>
  <si>
    <t>Aliso - Aquatic Center Splash Pad</t>
  </si>
  <si>
    <t>Anaheim - Miraloma Park Splash Pad</t>
  </si>
  <si>
    <t>Anaheim - Ponderosa Park Splash Pad</t>
  </si>
  <si>
    <t>Brea - Central Park Village Splash Pad</t>
  </si>
  <si>
    <t>Fountain Valley - Mile Square Regional Park Splash Pad</t>
  </si>
  <si>
    <t>Fullerton - Adlena Park Splash Pad</t>
  </si>
  <si>
    <t>Fullerton - Lemon Park Splash Pad</t>
  </si>
  <si>
    <t>Fullerton - Plaza Park Splash Pad</t>
  </si>
  <si>
    <t>Fullerton - Valencia Park Splash Pad</t>
  </si>
  <si>
    <t>Garden Grove - Atlantis Play Center Splash Pad</t>
  </si>
  <si>
    <t>Irvine - Heritage Community  Park Splash Pad</t>
  </si>
  <si>
    <t>Irvine - Spectrum Splash Pad</t>
  </si>
  <si>
    <t>La Habra - Brio Park Splash Pad</t>
  </si>
  <si>
    <t>La Habra - Oeste Park Splash Pad</t>
  </si>
  <si>
    <t>Laguna Niguel - Crown Valley Splash Pad</t>
  </si>
  <si>
    <t>Mission Viejo - Montanoso Recreation Center Splash Pad</t>
  </si>
  <si>
    <t>Rancho Santa Margarita - Central Park Splash Pad</t>
  </si>
  <si>
    <t>Stanton - Harry M. Dotson Park Splash Pad</t>
  </si>
  <si>
    <t>Stanton - Stanton Central Park Splash Pad</t>
  </si>
  <si>
    <t>Tustin - Frontier Park Splash Pad</t>
  </si>
  <si>
    <t>Tustin - Pioneer Road Park Splash Pad</t>
  </si>
  <si>
    <t>Tustin - Veterans Sports Park Splash Pad</t>
  </si>
  <si>
    <t>Tustin - The District at Tustin Legacy Splash Pad</t>
  </si>
  <si>
    <t>Westminster - Sigler Park Splash Pad</t>
  </si>
  <si>
    <t>Yorda Linda - Adventure Playground Splash Pad</t>
  </si>
  <si>
    <t xml:space="preserve">9 Santa Barbara Drive, Aliso Viejo, CA </t>
  </si>
  <si>
    <t>Aliso</t>
  </si>
  <si>
    <t>Brea</t>
  </si>
  <si>
    <t>Splash Pad</t>
  </si>
  <si>
    <t>https://goparkplay.com/listing/aliso-viejo-aquatic-center/</t>
  </si>
  <si>
    <t xml:space="preserve">Family fun  </t>
  </si>
  <si>
    <t>Splash pads</t>
  </si>
  <si>
    <t>The Aliso Aquatic Center splash pad is open to residents &amp; nonresidents, purchase a day pass or season pass which includes admission to the heated lap pool, kid’s splash pad and baby pool &amp; recreation pool.</t>
  </si>
  <si>
    <t>Aliso Aquatic splash pad is open to residents &amp; nonresidents, purchase includes admission to the kid’s splash pad and baby pool &amp; recreation pool.</t>
  </si>
  <si>
    <t>Anaheim - Miraloma</t>
  </si>
  <si>
    <t>2600 East Miraloma Way, Anaheim, CA</t>
  </si>
  <si>
    <t>Miraloma Park splash pad has a small skate park in front of the splash pad area (push the button on the pole to start the water), Family Resource Center with restrooms and just past there is a playground and picnic tables.</t>
  </si>
  <si>
    <t>https://goparkplay.com/listing/miraloma-park-splash-pad/</t>
  </si>
  <si>
    <t>Miraloma Park splash pad has a small skate park in front of the splash pad area (push the button on the pole to start the water).</t>
  </si>
  <si>
    <t>Anaheim - Ponderosa</t>
  </si>
  <si>
    <t>2113 South Mountain View Avenue, Anaheim, CA</t>
  </si>
  <si>
    <t>Ponderosa Park splash pad playground right next to the splash pad with various climbing nets, play house and swings, covered picnic tables behind and restrooms close by</t>
  </si>
  <si>
    <t>https://goparkplay.com/listing/ponderosa-park-splash-pad/</t>
  </si>
  <si>
    <t>Ponderosa Park has a playground right next to the splash pad with various climbing nets, play house &amp; swings, covered picnic tables behind &amp; restrooms close by.</t>
  </si>
  <si>
    <t xml:space="preserve">380 W Central Ave, Brea, CA </t>
  </si>
  <si>
    <t>Central Park Village Central Park splash pad next to the shaded playground with various climbing elements and slides, picnic tables &amp; restrooms a short walk from the playground.</t>
  </si>
  <si>
    <t>Central Park Village splash pad next to the shaded playground with various climbing elements &amp; slides &amp; restrooms a short walk from the playground.</t>
  </si>
  <si>
    <t>https://goparkplay.com/listing/central-park-village-central-park-splash-pad/</t>
  </si>
  <si>
    <t>Fountain</t>
  </si>
  <si>
    <t>16801 Euclid St, Fountain Valley, CA</t>
  </si>
  <si>
    <t>Mile Square Regional Park has three playgrounds here, one playground right next to the splash pad. Other things to do here include a nature walk, archery Range, lake and Wheel of Fun Rentals where you can rent bikes &amp; Swan Boats</t>
  </si>
  <si>
    <t xml:space="preserve">Mile Square Regional Park has three playgrounds here, one playground right next to the splash pad. </t>
  </si>
  <si>
    <t>https://goparkplay.com/listing/mile-square-regional-park-splash-pad/</t>
  </si>
  <si>
    <t xml:space="preserve">300 North Adlena Drive, Fullerton, CA </t>
  </si>
  <si>
    <t>Fullerton - Adlena</t>
  </si>
  <si>
    <t>Adlena Park playground has two small play structures and swings, covered picnic tables &amp; restrooms close by, with a splash pad.</t>
  </si>
  <si>
    <t>https://goparkplay.com/listing/adlena-park-splash-pad/</t>
  </si>
  <si>
    <t>701 South Lemon Street, Fullerton, CA</t>
  </si>
  <si>
    <t>Fullerton - Lemon</t>
  </si>
  <si>
    <t>Lemon Park playground has swinging monkey bars, hang on zip line, fireman’s pole, spinners, slides and swings, picnic tables and restrooms close by and splash pad.</t>
  </si>
  <si>
    <t>Lemon Park playground has swinging monkey bars, hang on zip line, fireman’s pole, spinners, slides/swings, picnic tables &amp; restrooms close by and splash pad.</t>
  </si>
  <si>
    <t>https://goparkplay.com/listing/lemon-park/</t>
  </si>
  <si>
    <t>144 East Wilshire Avenue, Fullerton, CA, USA</t>
  </si>
  <si>
    <t>Fullerton - Plaza</t>
  </si>
  <si>
    <r>
      <t>Located behind the </t>
    </r>
    <r>
      <rPr>
        <sz val="8"/>
        <rFont val="Arial"/>
        <family val="2"/>
      </rPr>
      <t>Fullerton Museum Center, restrooms right there and Plaza Park has small playground a short walk across the street with various climbing elements and splash pad.</t>
    </r>
  </si>
  <si>
    <r>
      <t>Located behind the </t>
    </r>
    <r>
      <rPr>
        <sz val="8"/>
        <rFont val="Arial"/>
        <family val="2"/>
      </rPr>
      <t>Fullerton Museum Center, restrooms right there &amp; Plaza Park has small playground a short walk with various climbing elements and splash pad.</t>
    </r>
  </si>
  <si>
    <t>https://goparkplay.com/listing/plaza-park-2/</t>
  </si>
  <si>
    <t>Fullerton - Valencia</t>
  </si>
  <si>
    <t>2425 West Valencia Drive, Fullerton, CA</t>
  </si>
  <si>
    <t>https://goparkplay.com/listing/valencia-park-2/</t>
  </si>
  <si>
    <t>Valencia Park playground is next to the splash pad and has two play structures, picnic tables and restrooms close by</t>
  </si>
  <si>
    <t>Garden</t>
  </si>
  <si>
    <t>13630 Atlantis Way, Garden Grove, CA</t>
  </si>
  <si>
    <t>Atlantis Playcenter is a fully gated playground where you will find a splash pad, dolphin &amp; seahorse spring riders, shark, dolphins, whale with a slide, horse boat, sea dragon, star fish and tall sea dragon slide, covered picnic tables &amp; restrooms inside.</t>
  </si>
  <si>
    <t>Atlantis Playcenter is a fully gated playground where you will find a splash pad, dolphin &amp; seahorse spring riders and more.</t>
  </si>
  <si>
    <t>https://goparkplay.com/listing/atlantis-play-center/</t>
  </si>
  <si>
    <t xml:space="preserve">14301 Yale Ave, Irvine, CA </t>
  </si>
  <si>
    <t>Irvine - Heritage</t>
  </si>
  <si>
    <t>Heritage Community Park playground has a ship play structures, splash pad, spring riders and swings, picnic tables and restrooms and even a lake behind you can walk around.</t>
  </si>
  <si>
    <t>Heritage Community Park playground has a ship play structures, splash pad, spring riders and swings, picnic tables and restrooms and even a lake.</t>
  </si>
  <si>
    <t>https://goparkplay.com/listing/heritage-community-park-splash-pad/</t>
  </si>
  <si>
    <t>900 Spectrum Center Dr, Irvine, CA</t>
  </si>
  <si>
    <t>Irvine - Spectrum</t>
  </si>
  <si>
    <t>https://goparkplay.com/listing/irvine-spectrum-sprayground/</t>
  </si>
  <si>
    <t>The Spectrum splash park sprayground is made up of various water shooters from the ground, make sure to wear a swim suit or bring an extra pair of clothes. Also right next to it is the Spectrum Climber which is a climbing net playground that looks like pringles chips.</t>
  </si>
  <si>
    <t xml:space="preserve">The Spectrum splash park sprayground is made up of various water shooters from the ground, make sure to wear a swim suit or bring an extra pair of clothes. </t>
  </si>
  <si>
    <t xml:space="preserve">300 South Euclid Street, La Habra, CA </t>
  </si>
  <si>
    <t>La Habra - Brio</t>
  </si>
  <si>
    <t>Brio Park splash pad is a shaded playground with slides right next to the splash pad, covered picnic tables, BBQ &amp; restrooms.</t>
  </si>
  <si>
    <t>https://goparkplay.com/listing/brio-park-splash-pad/</t>
  </si>
  <si>
    <t>La Habra - Oeste</t>
  </si>
  <si>
    <t>2300 West Lambert Road, La Habra, CA</t>
  </si>
  <si>
    <r>
      <t>Oeste Park</t>
    </r>
    <r>
      <rPr>
        <sz val="8"/>
        <color theme="1"/>
        <rFont val="Arial"/>
        <family val="2"/>
      </rPr>
      <t> playground has a play structure with splash pad, slides, spinner, spring riders and swings, picnic tables and restrooms close by</t>
    </r>
    <r>
      <rPr>
        <sz val="8"/>
        <color rgb="FF039BE5"/>
        <rFont val="Arial"/>
        <family val="2"/>
      </rPr>
      <t>.</t>
    </r>
  </si>
  <si>
    <t>https://goparkplay.com/listing/oeste-park-splash-pad/</t>
  </si>
  <si>
    <t xml:space="preserve">29751 Crown Valley Parkway, Laguna Niguel, CA </t>
  </si>
  <si>
    <t>Crown Valley Park playground is nature themed with boulders and slides, splash pad, picnic tables, restrooms.</t>
  </si>
  <si>
    <t>https://goparkplay.com/listing/crown-valley-park-and-splash-pad/</t>
  </si>
  <si>
    <t>25800 Montanoso Dr, Mission Viejo, CA</t>
  </si>
  <si>
    <t>Mission</t>
  </si>
  <si>
    <t>The Montanoso Rec. Center - Pay for a day pass or membership to visit more often, includes a 25-yard pool, jacuzzi, gym, basketball and tennis courts, splash pad and variety of fitness classes for all levels.</t>
  </si>
  <si>
    <t>The Montanoso Rec. Center has a 25-yard pool, jacuzzi, gym, basketball and tennis courts, splash pad and variety of fitness classes for all levels.</t>
  </si>
  <si>
    <t>https://goparkplay.com/listing/montanoso-recreation-center/</t>
  </si>
  <si>
    <t xml:space="preserve">30842 La Miranda, Rancho Santa Margarita, CA </t>
  </si>
  <si>
    <t>Rancho</t>
  </si>
  <si>
    <t>The RSM Central Park splash pad is fully gated, restrooms &amp; shower inside &amp; some shade (Open to public).</t>
  </si>
  <si>
    <t>https://goparkplay.com/listing/central-park/</t>
  </si>
  <si>
    <t>10350 Fern Avenue, Stanton, CA</t>
  </si>
  <si>
    <t>Stanton - Harry</t>
  </si>
  <si>
    <t>Harry M. Dotson Park and splash pad is a fully gated playground with a pirate ship theme, find the hidden treasure, covered picnic tables and restrooms.</t>
  </si>
  <si>
    <t>https://goparkplay.com/listing/harry-m-dotson-park/</t>
  </si>
  <si>
    <t xml:space="preserve">10660 Western Ave, Stanton, CA </t>
  </si>
  <si>
    <t>Stanton - Central</t>
  </si>
  <si>
    <r>
      <t>Stanton Central Park</t>
    </r>
    <r>
      <rPr>
        <sz val="8"/>
        <color theme="1"/>
        <rFont val="Arial"/>
        <family val="2"/>
      </rPr>
      <t> playground and splash pad has climbing ropes course, large train play structure with slides, swings, covered picnic tables, restrooms.</t>
    </r>
  </si>
  <si>
    <t>https://goparkplay.com/listing/stanton-central-park/</t>
  </si>
  <si>
    <t xml:space="preserve">1400 Mitchell Avenue, Tustin, CA </t>
  </si>
  <si>
    <t>Frontier Park playground and splash pad has an old western theme with horse spring rides, picnic tables &amp; restrooms.</t>
  </si>
  <si>
    <t>https://goparkplay.com/listing/frontier-park/</t>
  </si>
  <si>
    <t>10250 Pioneer Road, Tustin, CA</t>
  </si>
  <si>
    <t>The Pioneer Road Park and splash pad has covered picnic tables &amp; restrooms.</t>
  </si>
  <si>
    <t>https://goparkplay.com/listing/pioneer-road-park/</t>
  </si>
  <si>
    <t xml:space="preserve">Valencia Ave &amp; Lansdowne Road, Tustin, CA </t>
  </si>
  <si>
    <t>Tustin - Frontier</t>
  </si>
  <si>
    <t>Tustin - Pioneer</t>
  </si>
  <si>
    <t>Tustin - Veterans</t>
  </si>
  <si>
    <t>Veterans Sports Park playground has climbing nets, seesaw, inclusive zip line and small play structure with slides, covered picnic tables and restrooms and splash pad.</t>
  </si>
  <si>
    <t>Veterans Sports Park playground has climbing nets, inclusive zip line, small play structure with slides, covered picnic tables &amp; restrooms and splash pad.</t>
  </si>
  <si>
    <t>https://goparkplay.com/listing/veterans-sports-park/</t>
  </si>
  <si>
    <t>Tustin - The District</t>
  </si>
  <si>
    <t xml:space="preserve">2403 Park Ave, Tustin, CA </t>
  </si>
  <si>
    <t>https://goparkplay.com/listing/the-district-at-tustin-legacy-sprayground/</t>
  </si>
  <si>
    <t>The District at Tustin Legacy Splash pad sprayground with pop up water feature located in the The Promenade – part of the District surrounded by chairs. Shops &amp; restaurants as well as movie theater close by.</t>
  </si>
  <si>
    <t xml:space="preserve">The District at Tustin Legacy Splash pad sprayground with pop up water feature located in the The Promenade – part of the District surrounded by chairs. </t>
  </si>
  <si>
    <t>Westminster</t>
  </si>
  <si>
    <t>14144 Church St. Westminster, CA</t>
  </si>
  <si>
    <t>Sigler Park playground has various play structures with climbing elements, slides and swings, picnic tables &amp; restrooms and splash pad.</t>
  </si>
  <si>
    <t>https://goparkplay.com/listing/sigler-park/</t>
  </si>
  <si>
    <t>4601 Casa Loma Ave, Yorba Linda, CA</t>
  </si>
  <si>
    <t>Yorba</t>
  </si>
  <si>
    <t>Adventure Playground also has a playground with splash pad, net tunnels, water pump with mud area and side by side zipline and sports field.</t>
  </si>
  <si>
    <t>https://goparkplay.com/listing/yorba-linda-adventure-playground/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</si>
</sst>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3"/>
      <color rgb="FF202124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202122"/>
      <name val="Aptos Narrow"/>
      <family val="2"/>
      <scheme val="minor"/>
    </font>
    <font>
      <sz val="9"/>
      <color rgb="FF000000"/>
      <name val="Open_sansregular"/>
    </font>
    <font>
      <sz val="8"/>
      <color theme="1"/>
      <name val="Arial"/>
      <family val="2"/>
    </font>
    <font>
      <sz val="8"/>
      <color rgb="FF039BE5"/>
      <name val="Arial"/>
      <family val="2"/>
    </font>
    <font>
      <sz val="9"/>
      <name val="Open_sansregular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0" fillId="2" borderId="1" xfId="0" applyFill="1" applyBorder="1"/>
    <xf numFmtId="14" fontId="2" fillId="4" borderId="1" xfId="0" applyNumberFormat="1" applyFont="1" applyFill="1" applyBorder="1"/>
    <xf numFmtId="0" fontId="0" fillId="4" borderId="0" xfId="0" applyFill="1"/>
    <xf numFmtId="0" fontId="1" fillId="4" borderId="1" xfId="0" applyFont="1" applyFill="1" applyBorder="1" applyAlignment="1">
      <alignment horizontal="center"/>
    </xf>
    <xf numFmtId="0" fontId="0" fillId="2" borderId="0" xfId="0" applyFill="1"/>
    <xf numFmtId="0" fontId="2" fillId="2" borderId="2" xfId="0" applyFont="1" applyFill="1" applyBorder="1" applyAlignment="1">
      <alignment wrapText="1"/>
    </xf>
    <xf numFmtId="0" fontId="0" fillId="0" borderId="1" xfId="0" applyBorder="1"/>
    <xf numFmtId="0" fontId="0" fillId="4" borderId="1" xfId="0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wrapText="1"/>
    </xf>
    <xf numFmtId="14" fontId="2" fillId="2" borderId="1" xfId="0" applyNumberFormat="1" applyFont="1" applyFill="1" applyBorder="1"/>
    <xf numFmtId="0" fontId="6" fillId="2" borderId="1" xfId="0" applyFont="1" applyFill="1" applyBorder="1"/>
    <xf numFmtId="0" fontId="5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wrapText="1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left"/>
    </xf>
    <xf numFmtId="0" fontId="4" fillId="0" borderId="1" xfId="0" applyFont="1" applyFill="1" applyBorder="1"/>
    <xf numFmtId="14" fontId="2" fillId="0" borderId="1" xfId="0" applyNumberFormat="1" applyFont="1" applyFill="1" applyBorder="1"/>
    <xf numFmtId="0" fontId="0" fillId="0" borderId="0" xfId="0" applyFill="1"/>
    <xf numFmtId="0" fontId="10" fillId="0" borderId="1" xfId="0" applyFont="1" applyFill="1" applyBorder="1" applyAlignment="1">
      <alignment wrapText="1"/>
    </xf>
    <xf numFmtId="0" fontId="8" fillId="0" borderId="1" xfId="0" applyFont="1" applyFill="1" applyBorder="1" applyAlignment="1">
      <alignment horizontal="left" vertical="center" wrapText="1" indent="1"/>
    </xf>
    <xf numFmtId="0" fontId="4" fillId="0" borderId="1" xfId="0" applyFont="1" applyFill="1" applyBorder="1" applyAlignment="1">
      <alignment wrapText="1"/>
    </xf>
    <xf numFmtId="0" fontId="0" fillId="0" borderId="1" xfId="0" applyFill="1" applyBorder="1"/>
    <xf numFmtId="0" fontId="2" fillId="0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A3E44-3605-449C-AE11-8D4FB01A0BBE}">
  <dimension ref="A1:Q50"/>
  <sheetViews>
    <sheetView tabSelected="1" zoomScale="80" zoomScaleNormal="80" workbookViewId="0">
      <selection activeCell="D27" sqref="A27:XFD27"/>
    </sheetView>
  </sheetViews>
  <sheetFormatPr defaultRowHeight="14.5"/>
  <cols>
    <col min="1" max="1" width="40.6328125" customWidth="1"/>
    <col min="2" max="2" width="30.6328125" customWidth="1"/>
    <col min="3" max="3" width="37.81640625" customWidth="1"/>
    <col min="4" max="4" width="31" customWidth="1"/>
    <col min="5" max="5" width="6.7265625" customWidth="1"/>
    <col min="6" max="6" width="23.90625" customWidth="1"/>
    <col min="7" max="7" width="11.90625" customWidth="1"/>
    <col min="8" max="8" width="38.453125" customWidth="1"/>
    <col min="9" max="9" width="26" customWidth="1"/>
    <col min="10" max="10" width="40.6328125" customWidth="1"/>
    <col min="11" max="11" width="11.81640625" style="10" customWidth="1"/>
    <col min="12" max="12" width="11.26953125" style="10" customWidth="1"/>
    <col min="13" max="13" width="23" customWidth="1"/>
    <col min="14" max="14" width="19.26953125" customWidth="1"/>
    <col min="15" max="15" width="25.6328125" customWidth="1"/>
    <col min="16" max="16" width="22.453125" customWidth="1"/>
    <col min="17" max="17" width="19.81640625" customWidth="1"/>
    <col min="18" max="18" width="22.1796875" customWidth="1"/>
  </cols>
  <sheetData>
    <row r="1" spans="1:17" ht="34">
      <c r="A1" s="1" t="s">
        <v>0</v>
      </c>
      <c r="B1" s="1" t="s">
        <v>12</v>
      </c>
      <c r="C1" s="1" t="s">
        <v>13</v>
      </c>
      <c r="D1" s="4" t="s">
        <v>14</v>
      </c>
      <c r="E1" s="5" t="s">
        <v>15</v>
      </c>
      <c r="F1" s="1" t="s">
        <v>1</v>
      </c>
      <c r="G1" s="1" t="s">
        <v>2</v>
      </c>
      <c r="H1" s="1" t="s">
        <v>3</v>
      </c>
      <c r="I1" s="4" t="s">
        <v>10</v>
      </c>
      <c r="J1" s="1" t="s">
        <v>4</v>
      </c>
      <c r="K1" s="11" t="s">
        <v>5</v>
      </c>
      <c r="L1" s="11" t="s">
        <v>6</v>
      </c>
      <c r="M1" s="1" t="s">
        <v>7</v>
      </c>
      <c r="N1" s="1" t="s">
        <v>8</v>
      </c>
      <c r="O1" s="1" t="s">
        <v>9</v>
      </c>
      <c r="P1" s="4" t="s">
        <v>16</v>
      </c>
      <c r="Q1" s="1" t="s">
        <v>8</v>
      </c>
    </row>
    <row r="2" spans="1:17" s="28" customFormat="1" ht="144" customHeight="1">
      <c r="A2" s="21" t="s">
        <v>18</v>
      </c>
      <c r="B2" s="22" t="s">
        <v>18</v>
      </c>
      <c r="C2" s="23" t="s">
        <v>50</v>
      </c>
      <c r="D2" s="23" t="s">
        <v>51</v>
      </c>
      <c r="E2" s="22">
        <f t="shared" ref="E2:E27" si="0">LEN(D2)</f>
        <v>146</v>
      </c>
      <c r="F2" s="24" t="s">
        <v>46</v>
      </c>
      <c r="G2" s="25">
        <v>92656</v>
      </c>
      <c r="H2" s="26" t="s">
        <v>43</v>
      </c>
      <c r="I2" s="24" t="s">
        <v>44</v>
      </c>
      <c r="J2" s="22" t="s">
        <v>47</v>
      </c>
      <c r="K2" s="27">
        <v>45292</v>
      </c>
      <c r="L2" s="27">
        <v>410534</v>
      </c>
      <c r="M2" s="22" t="s">
        <v>48</v>
      </c>
      <c r="N2" s="22" t="s">
        <v>49</v>
      </c>
      <c r="O2" s="24" t="str">
        <f t="shared" ref="O2:O27" si="1">I2</f>
        <v>Aliso</v>
      </c>
      <c r="P2" s="24" t="s">
        <v>11</v>
      </c>
      <c r="Q2" s="24" t="str">
        <f t="shared" ref="Q2:Q27" si="2">N2</f>
        <v>Splash pads</v>
      </c>
    </row>
    <row r="3" spans="1:17" s="28" customFormat="1" ht="59">
      <c r="A3" s="22" t="s">
        <v>19</v>
      </c>
      <c r="B3" s="22" t="s">
        <v>19</v>
      </c>
      <c r="C3" s="23" t="s">
        <v>54</v>
      </c>
      <c r="D3" s="23" t="s">
        <v>56</v>
      </c>
      <c r="E3" s="22">
        <f t="shared" si="0"/>
        <v>129</v>
      </c>
      <c r="F3" s="24" t="s">
        <v>46</v>
      </c>
      <c r="G3" s="25">
        <v>92806</v>
      </c>
      <c r="H3" s="26" t="s">
        <v>53</v>
      </c>
      <c r="I3" s="24" t="s">
        <v>52</v>
      </c>
      <c r="J3" s="22" t="s">
        <v>55</v>
      </c>
      <c r="K3" s="27">
        <v>45292</v>
      </c>
      <c r="L3" s="27">
        <v>410534</v>
      </c>
      <c r="M3" s="22" t="s">
        <v>48</v>
      </c>
      <c r="N3" s="22" t="s">
        <v>49</v>
      </c>
      <c r="O3" s="24" t="str">
        <f t="shared" si="1"/>
        <v>Anaheim - Miraloma</v>
      </c>
      <c r="P3" s="24" t="s">
        <v>11</v>
      </c>
      <c r="Q3" s="24" t="str">
        <f t="shared" si="2"/>
        <v>Splash pads</v>
      </c>
    </row>
    <row r="4" spans="1:17" s="28" customFormat="1" ht="72.5" customHeight="1">
      <c r="A4" s="22" t="s">
        <v>20</v>
      </c>
      <c r="B4" s="22" t="s">
        <v>20</v>
      </c>
      <c r="C4" s="23" t="s">
        <v>59</v>
      </c>
      <c r="D4" s="23" t="s">
        <v>61</v>
      </c>
      <c r="E4" s="22">
        <f t="shared" si="0"/>
        <v>160</v>
      </c>
      <c r="F4" s="24" t="s">
        <v>46</v>
      </c>
      <c r="G4" s="25">
        <v>92802</v>
      </c>
      <c r="H4" s="26" t="s">
        <v>58</v>
      </c>
      <c r="I4" s="24" t="s">
        <v>57</v>
      </c>
      <c r="J4" s="22" t="s">
        <v>60</v>
      </c>
      <c r="K4" s="27">
        <v>45292</v>
      </c>
      <c r="L4" s="27">
        <v>410534</v>
      </c>
      <c r="M4" s="22" t="s">
        <v>48</v>
      </c>
      <c r="N4" s="22" t="s">
        <v>49</v>
      </c>
      <c r="O4" s="24" t="str">
        <f t="shared" si="1"/>
        <v>Anaheim - Ponderosa</v>
      </c>
      <c r="P4" s="24" t="s">
        <v>11</v>
      </c>
      <c r="Q4" s="24" t="str">
        <f t="shared" si="2"/>
        <v>Splash pads</v>
      </c>
    </row>
    <row r="5" spans="1:17" s="28" customFormat="1" ht="62.5" customHeight="1">
      <c r="A5" s="22" t="s">
        <v>21</v>
      </c>
      <c r="B5" s="22" t="s">
        <v>21</v>
      </c>
      <c r="C5" s="23" t="s">
        <v>63</v>
      </c>
      <c r="D5" s="23" t="s">
        <v>64</v>
      </c>
      <c r="E5" s="22">
        <f t="shared" si="0"/>
        <v>147</v>
      </c>
      <c r="F5" s="24" t="s">
        <v>46</v>
      </c>
      <c r="G5" s="25">
        <v>92821</v>
      </c>
      <c r="H5" s="26" t="s">
        <v>62</v>
      </c>
      <c r="I5" s="24" t="s">
        <v>45</v>
      </c>
      <c r="J5" s="22" t="s">
        <v>65</v>
      </c>
      <c r="K5" s="27">
        <v>45292</v>
      </c>
      <c r="L5" s="27">
        <v>410534</v>
      </c>
      <c r="M5" s="22" t="s">
        <v>48</v>
      </c>
      <c r="N5" s="22" t="s">
        <v>49</v>
      </c>
      <c r="O5" s="24" t="str">
        <f t="shared" si="1"/>
        <v>Brea</v>
      </c>
      <c r="P5" s="24" t="s">
        <v>11</v>
      </c>
      <c r="Q5" s="24" t="str">
        <f t="shared" si="2"/>
        <v>Splash pads</v>
      </c>
    </row>
    <row r="6" spans="1:17" s="28" customFormat="1" ht="59">
      <c r="A6" s="22" t="s">
        <v>22</v>
      </c>
      <c r="B6" s="22" t="s">
        <v>22</v>
      </c>
      <c r="C6" s="23" t="s">
        <v>68</v>
      </c>
      <c r="D6" s="23" t="s">
        <v>69</v>
      </c>
      <c r="E6" s="22">
        <f t="shared" si="0"/>
        <v>99</v>
      </c>
      <c r="F6" s="24" t="s">
        <v>46</v>
      </c>
      <c r="G6" s="25">
        <v>92708</v>
      </c>
      <c r="H6" s="26" t="s">
        <v>67</v>
      </c>
      <c r="I6" s="24" t="s">
        <v>66</v>
      </c>
      <c r="J6" s="22" t="s">
        <v>70</v>
      </c>
      <c r="K6" s="27">
        <v>45292</v>
      </c>
      <c r="L6" s="27">
        <v>410534</v>
      </c>
      <c r="M6" s="22" t="s">
        <v>48</v>
      </c>
      <c r="N6" s="22" t="s">
        <v>49</v>
      </c>
      <c r="O6" s="24" t="str">
        <f t="shared" si="1"/>
        <v>Fountain</v>
      </c>
      <c r="P6" s="24" t="s">
        <v>11</v>
      </c>
      <c r="Q6" s="24" t="str">
        <f t="shared" si="2"/>
        <v>Splash pads</v>
      </c>
    </row>
    <row r="7" spans="1:17" s="28" customFormat="1" ht="47.5">
      <c r="A7" s="22" t="s">
        <v>23</v>
      </c>
      <c r="B7" s="22" t="s">
        <v>23</v>
      </c>
      <c r="C7" s="23" t="s">
        <v>73</v>
      </c>
      <c r="D7" s="23" t="s">
        <v>73</v>
      </c>
      <c r="E7" s="22">
        <f t="shared" si="0"/>
        <v>127</v>
      </c>
      <c r="F7" s="24" t="s">
        <v>46</v>
      </c>
      <c r="G7" s="25">
        <v>92833</v>
      </c>
      <c r="H7" s="26" t="s">
        <v>71</v>
      </c>
      <c r="I7" s="24" t="s">
        <v>72</v>
      </c>
      <c r="J7" s="22" t="s">
        <v>74</v>
      </c>
      <c r="K7" s="27">
        <v>45292</v>
      </c>
      <c r="L7" s="27">
        <v>410534</v>
      </c>
      <c r="M7" s="22" t="s">
        <v>48</v>
      </c>
      <c r="N7" s="22" t="s">
        <v>49</v>
      </c>
      <c r="O7" s="24" t="str">
        <f t="shared" si="1"/>
        <v>Fullerton - Adlena</v>
      </c>
      <c r="P7" s="24" t="s">
        <v>11</v>
      </c>
      <c r="Q7" s="24" t="str">
        <f t="shared" si="2"/>
        <v>Splash pads</v>
      </c>
    </row>
    <row r="8" spans="1:17" s="28" customFormat="1" ht="59">
      <c r="A8" s="22" t="s">
        <v>24</v>
      </c>
      <c r="B8" s="22" t="s">
        <v>24</v>
      </c>
      <c r="C8" s="23" t="s">
        <v>77</v>
      </c>
      <c r="D8" s="23" t="s">
        <v>78</v>
      </c>
      <c r="E8" s="22">
        <f t="shared" si="0"/>
        <v>157</v>
      </c>
      <c r="F8" s="24" t="s">
        <v>46</v>
      </c>
      <c r="G8" s="25">
        <v>92805</v>
      </c>
      <c r="H8" s="26" t="s">
        <v>75</v>
      </c>
      <c r="I8" s="24" t="s">
        <v>76</v>
      </c>
      <c r="J8" s="22" t="s">
        <v>79</v>
      </c>
      <c r="K8" s="27">
        <v>45292</v>
      </c>
      <c r="L8" s="27">
        <v>410534</v>
      </c>
      <c r="M8" s="22" t="s">
        <v>48</v>
      </c>
      <c r="N8" s="22" t="s">
        <v>49</v>
      </c>
      <c r="O8" s="24" t="str">
        <f t="shared" si="1"/>
        <v>Fullerton - Lemon</v>
      </c>
      <c r="P8" s="24" t="s">
        <v>11</v>
      </c>
      <c r="Q8" s="24" t="str">
        <f t="shared" si="2"/>
        <v>Splash pads</v>
      </c>
    </row>
    <row r="9" spans="1:17" s="28" customFormat="1" ht="43.5">
      <c r="A9" s="22" t="s">
        <v>25</v>
      </c>
      <c r="B9" s="22" t="s">
        <v>25</v>
      </c>
      <c r="C9" s="29" t="s">
        <v>82</v>
      </c>
      <c r="D9" s="29" t="s">
        <v>83</v>
      </c>
      <c r="E9" s="22">
        <f t="shared" si="0"/>
        <v>159</v>
      </c>
      <c r="F9" s="24" t="s">
        <v>46</v>
      </c>
      <c r="G9" s="25">
        <v>92832</v>
      </c>
      <c r="H9" s="26" t="s">
        <v>80</v>
      </c>
      <c r="I9" s="24" t="s">
        <v>81</v>
      </c>
      <c r="J9" s="22" t="s">
        <v>84</v>
      </c>
      <c r="K9" s="27">
        <v>45292</v>
      </c>
      <c r="L9" s="27">
        <v>410534</v>
      </c>
      <c r="M9" s="22" t="s">
        <v>48</v>
      </c>
      <c r="N9" s="22" t="s">
        <v>49</v>
      </c>
      <c r="O9" s="24" t="str">
        <f t="shared" si="1"/>
        <v>Fullerton - Plaza</v>
      </c>
      <c r="P9" s="24" t="s">
        <v>11</v>
      </c>
      <c r="Q9" s="24" t="str">
        <f t="shared" si="2"/>
        <v>Splash pads</v>
      </c>
    </row>
    <row r="10" spans="1:17" s="28" customFormat="1" ht="76" customHeight="1">
      <c r="A10" s="22" t="s">
        <v>26</v>
      </c>
      <c r="B10" s="22" t="s">
        <v>26</v>
      </c>
      <c r="C10" s="29" t="s">
        <v>88</v>
      </c>
      <c r="D10" s="29" t="s">
        <v>88</v>
      </c>
      <c r="E10" s="22">
        <f t="shared" si="0"/>
        <v>116</v>
      </c>
      <c r="F10" s="24" t="s">
        <v>46</v>
      </c>
      <c r="G10" s="25">
        <v>92833</v>
      </c>
      <c r="H10" s="26" t="s">
        <v>86</v>
      </c>
      <c r="I10" s="24" t="s">
        <v>85</v>
      </c>
      <c r="J10" s="22" t="s">
        <v>87</v>
      </c>
      <c r="K10" s="27">
        <v>45292</v>
      </c>
      <c r="L10" s="27">
        <v>410534</v>
      </c>
      <c r="M10" s="22" t="s">
        <v>48</v>
      </c>
      <c r="N10" s="22" t="s">
        <v>49</v>
      </c>
      <c r="O10" s="24" t="str">
        <f t="shared" si="1"/>
        <v>Fullerton - Valencia</v>
      </c>
      <c r="P10" s="24" t="s">
        <v>11</v>
      </c>
      <c r="Q10" s="24" t="str">
        <f t="shared" si="2"/>
        <v>Splash pads</v>
      </c>
    </row>
    <row r="11" spans="1:17" s="28" customFormat="1" ht="77.5" customHeight="1">
      <c r="A11" s="22" t="s">
        <v>27</v>
      </c>
      <c r="B11" s="22" t="s">
        <v>27</v>
      </c>
      <c r="C11" s="29" t="s">
        <v>91</v>
      </c>
      <c r="D11" s="29" t="s">
        <v>92</v>
      </c>
      <c r="E11" s="22">
        <f t="shared" si="0"/>
        <v>124</v>
      </c>
      <c r="F11" s="24" t="s">
        <v>46</v>
      </c>
      <c r="G11" s="25">
        <v>92844</v>
      </c>
      <c r="H11" s="26" t="s">
        <v>90</v>
      </c>
      <c r="I11" s="24" t="s">
        <v>89</v>
      </c>
      <c r="J11" s="22" t="s">
        <v>93</v>
      </c>
      <c r="K11" s="27">
        <v>45292</v>
      </c>
      <c r="L11" s="27">
        <v>410534</v>
      </c>
      <c r="M11" s="22" t="s">
        <v>48</v>
      </c>
      <c r="N11" s="22" t="s">
        <v>49</v>
      </c>
      <c r="O11" s="24" t="str">
        <f t="shared" si="1"/>
        <v>Garden</v>
      </c>
      <c r="P11" s="24" t="s">
        <v>11</v>
      </c>
      <c r="Q11" s="24" t="str">
        <f t="shared" si="2"/>
        <v>Splash pads</v>
      </c>
    </row>
    <row r="12" spans="1:17" s="28" customFormat="1" ht="70" customHeight="1">
      <c r="A12" s="22" t="s">
        <v>28</v>
      </c>
      <c r="B12" s="22" t="s">
        <v>28</v>
      </c>
      <c r="C12" s="29" t="s">
        <v>96</v>
      </c>
      <c r="D12" s="29" t="s">
        <v>97</v>
      </c>
      <c r="E12" s="22">
        <f t="shared" si="0"/>
        <v>145</v>
      </c>
      <c r="F12" s="24" t="s">
        <v>46</v>
      </c>
      <c r="G12" s="25">
        <v>92604</v>
      </c>
      <c r="H12" s="26" t="s">
        <v>94</v>
      </c>
      <c r="I12" s="24" t="s">
        <v>95</v>
      </c>
      <c r="J12" s="22" t="s">
        <v>98</v>
      </c>
      <c r="K12" s="27">
        <v>45292</v>
      </c>
      <c r="L12" s="27">
        <v>410534</v>
      </c>
      <c r="M12" s="22" t="s">
        <v>48</v>
      </c>
      <c r="N12" s="22" t="s">
        <v>49</v>
      </c>
      <c r="O12" s="24" t="str">
        <f t="shared" si="1"/>
        <v>Irvine - Heritage</v>
      </c>
      <c r="P12" s="24" t="s">
        <v>11</v>
      </c>
      <c r="Q12" s="24" t="str">
        <f t="shared" si="2"/>
        <v>Splash pads</v>
      </c>
    </row>
    <row r="13" spans="1:17" s="28" customFormat="1" ht="89" customHeight="1">
      <c r="A13" s="22" t="s">
        <v>29</v>
      </c>
      <c r="B13" s="22" t="s">
        <v>29</v>
      </c>
      <c r="C13" s="29" t="s">
        <v>102</v>
      </c>
      <c r="D13" s="29" t="s">
        <v>103</v>
      </c>
      <c r="E13" s="22">
        <f t="shared" si="0"/>
        <v>156</v>
      </c>
      <c r="F13" s="24" t="s">
        <v>46</v>
      </c>
      <c r="G13" s="25">
        <v>92618</v>
      </c>
      <c r="H13" s="26" t="s">
        <v>99</v>
      </c>
      <c r="I13" s="24" t="s">
        <v>100</v>
      </c>
      <c r="J13" s="22" t="s">
        <v>101</v>
      </c>
      <c r="K13" s="27">
        <v>45292</v>
      </c>
      <c r="L13" s="27">
        <v>410534</v>
      </c>
      <c r="M13" s="22" t="s">
        <v>48</v>
      </c>
      <c r="N13" s="22" t="s">
        <v>49</v>
      </c>
      <c r="O13" s="24" t="str">
        <f t="shared" si="1"/>
        <v>Irvine - Spectrum</v>
      </c>
      <c r="P13" s="24" t="s">
        <v>11</v>
      </c>
      <c r="Q13" s="24" t="str">
        <f t="shared" si="2"/>
        <v>Splash pads</v>
      </c>
    </row>
    <row r="14" spans="1:17" s="28" customFormat="1" ht="53.5" customHeight="1">
      <c r="A14" s="22" t="s">
        <v>30</v>
      </c>
      <c r="B14" s="22" t="s">
        <v>30</v>
      </c>
      <c r="C14" s="29" t="s">
        <v>106</v>
      </c>
      <c r="D14" s="29" t="s">
        <v>106</v>
      </c>
      <c r="E14" s="22">
        <f t="shared" si="0"/>
        <v>125</v>
      </c>
      <c r="F14" s="24" t="s">
        <v>46</v>
      </c>
      <c r="G14" s="25">
        <v>90631</v>
      </c>
      <c r="H14" s="26" t="s">
        <v>104</v>
      </c>
      <c r="I14" s="24" t="s">
        <v>105</v>
      </c>
      <c r="J14" s="22" t="s">
        <v>107</v>
      </c>
      <c r="K14" s="27">
        <v>45292</v>
      </c>
      <c r="L14" s="27">
        <v>410534</v>
      </c>
      <c r="M14" s="22" t="s">
        <v>48</v>
      </c>
      <c r="N14" s="22" t="s">
        <v>49</v>
      </c>
      <c r="O14" s="24" t="str">
        <f t="shared" si="1"/>
        <v>La Habra - Brio</v>
      </c>
      <c r="P14" s="24" t="s">
        <v>11</v>
      </c>
      <c r="Q14" s="24" t="str">
        <f t="shared" si="2"/>
        <v>Splash pads</v>
      </c>
    </row>
    <row r="15" spans="1:17" s="28" customFormat="1" ht="57" customHeight="1">
      <c r="A15" s="22" t="s">
        <v>31</v>
      </c>
      <c r="B15" s="22" t="s">
        <v>31</v>
      </c>
      <c r="C15" s="29" t="s">
        <v>110</v>
      </c>
      <c r="D15" s="29" t="s">
        <v>110</v>
      </c>
      <c r="E15" s="22">
        <f t="shared" si="0"/>
        <v>140</v>
      </c>
      <c r="F15" s="24" t="s">
        <v>46</v>
      </c>
      <c r="G15" s="25">
        <v>90631</v>
      </c>
      <c r="H15" s="26" t="s">
        <v>109</v>
      </c>
      <c r="I15" s="24" t="s">
        <v>108</v>
      </c>
      <c r="J15" s="22" t="s">
        <v>111</v>
      </c>
      <c r="K15" s="27">
        <v>45292</v>
      </c>
      <c r="L15" s="27">
        <v>410534</v>
      </c>
      <c r="M15" s="22" t="s">
        <v>48</v>
      </c>
      <c r="N15" s="22" t="s">
        <v>49</v>
      </c>
      <c r="O15" s="24" t="str">
        <f t="shared" si="1"/>
        <v>La Habra - Oeste</v>
      </c>
      <c r="P15" s="24" t="s">
        <v>11</v>
      </c>
      <c r="Q15" s="24" t="str">
        <f t="shared" si="2"/>
        <v>Splash pads</v>
      </c>
    </row>
    <row r="16" spans="1:17" s="28" customFormat="1" ht="51" customHeight="1">
      <c r="A16" s="22" t="s">
        <v>32</v>
      </c>
      <c r="B16" s="22" t="s">
        <v>32</v>
      </c>
      <c r="C16" s="29" t="s">
        <v>113</v>
      </c>
      <c r="D16" s="29" t="s">
        <v>113</v>
      </c>
      <c r="E16" s="22">
        <f t="shared" si="0"/>
        <v>109</v>
      </c>
      <c r="F16" s="24" t="s">
        <v>46</v>
      </c>
      <c r="G16" s="25">
        <v>92677</v>
      </c>
      <c r="H16" s="26" t="s">
        <v>112</v>
      </c>
      <c r="I16" s="24" t="s">
        <v>17</v>
      </c>
      <c r="J16" s="22" t="s">
        <v>114</v>
      </c>
      <c r="K16" s="27">
        <v>45292</v>
      </c>
      <c r="L16" s="27">
        <v>410534</v>
      </c>
      <c r="M16" s="22" t="s">
        <v>48</v>
      </c>
      <c r="N16" s="22" t="s">
        <v>49</v>
      </c>
      <c r="O16" s="24" t="str">
        <f t="shared" si="1"/>
        <v>Laguna</v>
      </c>
      <c r="P16" s="24" t="s">
        <v>11</v>
      </c>
      <c r="Q16" s="24" t="str">
        <f t="shared" si="2"/>
        <v>Splash pads</v>
      </c>
    </row>
    <row r="17" spans="1:17" s="28" customFormat="1" ht="40">
      <c r="A17" s="22" t="s">
        <v>33</v>
      </c>
      <c r="B17" s="22" t="s">
        <v>33</v>
      </c>
      <c r="C17" s="30" t="s">
        <v>117</v>
      </c>
      <c r="D17" s="30" t="s">
        <v>118</v>
      </c>
      <c r="E17" s="22">
        <f t="shared" si="0"/>
        <v>147</v>
      </c>
      <c r="F17" s="24" t="s">
        <v>46</v>
      </c>
      <c r="G17" s="25">
        <v>92691</v>
      </c>
      <c r="H17" s="31" t="s">
        <v>115</v>
      </c>
      <c r="I17" s="24" t="s">
        <v>116</v>
      </c>
      <c r="J17" s="22" t="s">
        <v>119</v>
      </c>
      <c r="K17" s="27">
        <v>45292</v>
      </c>
      <c r="L17" s="27">
        <v>410534</v>
      </c>
      <c r="M17" s="22" t="s">
        <v>48</v>
      </c>
      <c r="N17" s="22" t="s">
        <v>49</v>
      </c>
      <c r="O17" s="24" t="str">
        <f t="shared" si="1"/>
        <v>Mission</v>
      </c>
      <c r="P17" s="24" t="s">
        <v>11</v>
      </c>
      <c r="Q17" s="24" t="str">
        <f t="shared" si="2"/>
        <v>Splash pads</v>
      </c>
    </row>
    <row r="18" spans="1:17" s="28" customFormat="1" ht="34">
      <c r="A18" s="22" t="s">
        <v>34</v>
      </c>
      <c r="B18" s="22" t="s">
        <v>34</v>
      </c>
      <c r="C18" s="30" t="s">
        <v>122</v>
      </c>
      <c r="D18" s="30" t="s">
        <v>122</v>
      </c>
      <c r="E18" s="22">
        <f t="shared" si="0"/>
        <v>104</v>
      </c>
      <c r="F18" s="24" t="s">
        <v>46</v>
      </c>
      <c r="G18" s="25">
        <v>92688</v>
      </c>
      <c r="H18" s="31" t="s">
        <v>120</v>
      </c>
      <c r="I18" s="24" t="s">
        <v>121</v>
      </c>
      <c r="J18" s="22" t="s">
        <v>123</v>
      </c>
      <c r="K18" s="27">
        <v>45292</v>
      </c>
      <c r="L18" s="27">
        <v>410534</v>
      </c>
      <c r="M18" s="22" t="s">
        <v>48</v>
      </c>
      <c r="N18" s="22" t="s">
        <v>49</v>
      </c>
      <c r="O18" s="24" t="str">
        <f t="shared" si="1"/>
        <v>Rancho</v>
      </c>
      <c r="P18" s="24" t="s">
        <v>11</v>
      </c>
      <c r="Q18" s="24" t="str">
        <f t="shared" si="2"/>
        <v>Splash pads</v>
      </c>
    </row>
    <row r="19" spans="1:17" s="28" customFormat="1" ht="40">
      <c r="A19" s="22" t="s">
        <v>35</v>
      </c>
      <c r="B19" s="22" t="s">
        <v>35</v>
      </c>
      <c r="C19" s="30" t="s">
        <v>126</v>
      </c>
      <c r="D19" s="30" t="s">
        <v>126</v>
      </c>
      <c r="E19" s="22">
        <f t="shared" si="0"/>
        <v>152</v>
      </c>
      <c r="F19" s="24" t="s">
        <v>46</v>
      </c>
      <c r="G19" s="25">
        <v>90680</v>
      </c>
      <c r="H19" s="31" t="s">
        <v>124</v>
      </c>
      <c r="I19" s="24" t="s">
        <v>125</v>
      </c>
      <c r="J19" s="22" t="s">
        <v>127</v>
      </c>
      <c r="K19" s="27">
        <v>45292</v>
      </c>
      <c r="L19" s="27">
        <v>410534</v>
      </c>
      <c r="M19" s="22" t="s">
        <v>48</v>
      </c>
      <c r="N19" s="22" t="s">
        <v>49</v>
      </c>
      <c r="O19" s="24" t="str">
        <f t="shared" si="1"/>
        <v>Stanton - Harry</v>
      </c>
      <c r="P19" s="24" t="s">
        <v>11</v>
      </c>
      <c r="Q19" s="24" t="str">
        <f t="shared" si="2"/>
        <v>Splash pads</v>
      </c>
    </row>
    <row r="20" spans="1:17" s="28" customFormat="1" ht="40">
      <c r="A20" s="22" t="s">
        <v>36</v>
      </c>
      <c r="B20" s="22" t="s">
        <v>36</v>
      </c>
      <c r="C20" s="30" t="s">
        <v>130</v>
      </c>
      <c r="D20" s="30" t="s">
        <v>130</v>
      </c>
      <c r="E20" s="22">
        <f t="shared" si="0"/>
        <v>155</v>
      </c>
      <c r="F20" s="24" t="s">
        <v>46</v>
      </c>
      <c r="G20" s="25">
        <v>90680</v>
      </c>
      <c r="H20" s="31" t="s">
        <v>128</v>
      </c>
      <c r="I20" s="24" t="s">
        <v>129</v>
      </c>
      <c r="J20" s="22" t="s">
        <v>131</v>
      </c>
      <c r="K20" s="27">
        <v>45292</v>
      </c>
      <c r="L20" s="27">
        <v>410534</v>
      </c>
      <c r="M20" s="22" t="s">
        <v>48</v>
      </c>
      <c r="N20" s="22" t="s">
        <v>49</v>
      </c>
      <c r="O20" s="24" t="str">
        <f t="shared" si="1"/>
        <v>Stanton - Central</v>
      </c>
      <c r="P20" s="24" t="s">
        <v>11</v>
      </c>
      <c r="Q20" s="24" t="str">
        <f t="shared" si="2"/>
        <v>Splash pads</v>
      </c>
    </row>
    <row r="21" spans="1:17" s="28" customFormat="1" ht="34">
      <c r="A21" s="22" t="s">
        <v>37</v>
      </c>
      <c r="B21" s="22" t="s">
        <v>37</v>
      </c>
      <c r="C21" s="30" t="s">
        <v>133</v>
      </c>
      <c r="D21" s="30" t="s">
        <v>133</v>
      </c>
      <c r="E21" s="22">
        <f t="shared" si="0"/>
        <v>116</v>
      </c>
      <c r="F21" s="24" t="s">
        <v>46</v>
      </c>
      <c r="G21" s="25">
        <v>92780</v>
      </c>
      <c r="H21" s="31" t="s">
        <v>132</v>
      </c>
      <c r="I21" s="24" t="s">
        <v>139</v>
      </c>
      <c r="J21" s="22" t="s">
        <v>134</v>
      </c>
      <c r="K21" s="27">
        <v>45292</v>
      </c>
      <c r="L21" s="27">
        <v>410534</v>
      </c>
      <c r="M21" s="22" t="s">
        <v>48</v>
      </c>
      <c r="N21" s="22" t="s">
        <v>49</v>
      </c>
      <c r="O21" s="24" t="str">
        <f t="shared" si="1"/>
        <v>Tustin - Frontier</v>
      </c>
      <c r="P21" s="24" t="s">
        <v>11</v>
      </c>
      <c r="Q21" s="24" t="str">
        <f t="shared" si="2"/>
        <v>Splash pads</v>
      </c>
    </row>
    <row r="22" spans="1:17" s="28" customFormat="1" ht="34">
      <c r="A22" s="22" t="s">
        <v>38</v>
      </c>
      <c r="B22" s="22" t="s">
        <v>38</v>
      </c>
      <c r="C22" s="30" t="s">
        <v>136</v>
      </c>
      <c r="D22" s="30" t="s">
        <v>136</v>
      </c>
      <c r="E22" s="22">
        <f t="shared" si="0"/>
        <v>75</v>
      </c>
      <c r="F22" s="24" t="s">
        <v>46</v>
      </c>
      <c r="G22" s="25">
        <v>92782</v>
      </c>
      <c r="H22" s="31" t="s">
        <v>135</v>
      </c>
      <c r="I22" s="24" t="s">
        <v>140</v>
      </c>
      <c r="J22" s="22" t="s">
        <v>137</v>
      </c>
      <c r="K22" s="27">
        <v>45292</v>
      </c>
      <c r="L22" s="27">
        <v>410534</v>
      </c>
      <c r="M22" s="22" t="s">
        <v>48</v>
      </c>
      <c r="N22" s="22" t="s">
        <v>49</v>
      </c>
      <c r="O22" s="24" t="str">
        <f t="shared" si="1"/>
        <v>Tustin - Pioneer</v>
      </c>
      <c r="P22" s="24" t="s">
        <v>11</v>
      </c>
      <c r="Q22" s="24" t="str">
        <f t="shared" si="2"/>
        <v>Splash pads</v>
      </c>
    </row>
    <row r="23" spans="1:17" s="28" customFormat="1" ht="40">
      <c r="A23" s="22" t="s">
        <v>39</v>
      </c>
      <c r="B23" s="22" t="s">
        <v>39</v>
      </c>
      <c r="C23" s="30" t="s">
        <v>142</v>
      </c>
      <c r="D23" s="30" t="s">
        <v>143</v>
      </c>
      <c r="E23" s="22">
        <f t="shared" si="0"/>
        <v>154</v>
      </c>
      <c r="F23" s="24" t="s">
        <v>46</v>
      </c>
      <c r="G23" s="25">
        <v>92782</v>
      </c>
      <c r="H23" s="31" t="s">
        <v>138</v>
      </c>
      <c r="I23" s="24" t="s">
        <v>141</v>
      </c>
      <c r="J23" s="22" t="s">
        <v>144</v>
      </c>
      <c r="K23" s="27">
        <v>45292</v>
      </c>
      <c r="L23" s="27">
        <v>410534</v>
      </c>
      <c r="M23" s="22" t="s">
        <v>48</v>
      </c>
      <c r="N23" s="22" t="s">
        <v>49</v>
      </c>
      <c r="O23" s="24" t="str">
        <f t="shared" si="1"/>
        <v>Tustin - Veterans</v>
      </c>
      <c r="P23" s="24" t="s">
        <v>11</v>
      </c>
      <c r="Q23" s="24" t="str">
        <f t="shared" si="2"/>
        <v>Splash pads</v>
      </c>
    </row>
    <row r="24" spans="1:17" s="28" customFormat="1" ht="40">
      <c r="A24" s="22" t="s">
        <v>40</v>
      </c>
      <c r="B24" s="22" t="s">
        <v>40</v>
      </c>
      <c r="C24" s="30" t="s">
        <v>148</v>
      </c>
      <c r="D24" s="30" t="s">
        <v>149</v>
      </c>
      <c r="E24" s="22">
        <f t="shared" si="0"/>
        <v>153</v>
      </c>
      <c r="F24" s="24" t="s">
        <v>46</v>
      </c>
      <c r="G24" s="25">
        <v>92782</v>
      </c>
      <c r="H24" s="31" t="s">
        <v>146</v>
      </c>
      <c r="I24" s="24" t="s">
        <v>145</v>
      </c>
      <c r="J24" s="22" t="s">
        <v>147</v>
      </c>
      <c r="K24" s="27">
        <v>45292</v>
      </c>
      <c r="L24" s="27">
        <v>410534</v>
      </c>
      <c r="M24" s="22" t="s">
        <v>48</v>
      </c>
      <c r="N24" s="22" t="s">
        <v>49</v>
      </c>
      <c r="O24" s="24" t="str">
        <f t="shared" si="1"/>
        <v>Tustin - The District</v>
      </c>
      <c r="P24" s="24" t="s">
        <v>11</v>
      </c>
      <c r="Q24" s="24" t="str">
        <f t="shared" si="2"/>
        <v>Splash pads</v>
      </c>
    </row>
    <row r="25" spans="1:17" s="28" customFormat="1" ht="40">
      <c r="A25" s="22" t="s">
        <v>41</v>
      </c>
      <c r="B25" s="22" t="s">
        <v>41</v>
      </c>
      <c r="C25" s="30" t="s">
        <v>152</v>
      </c>
      <c r="D25" s="30" t="s">
        <v>152</v>
      </c>
      <c r="E25" s="22">
        <f t="shared" si="0"/>
        <v>135</v>
      </c>
      <c r="F25" s="24" t="s">
        <v>46</v>
      </c>
      <c r="G25" s="25">
        <v>92683</v>
      </c>
      <c r="H25" s="28" t="s">
        <v>151</v>
      </c>
      <c r="I25" s="24" t="s">
        <v>150</v>
      </c>
      <c r="J25" s="22" t="s">
        <v>153</v>
      </c>
      <c r="K25" s="27">
        <v>45292</v>
      </c>
      <c r="L25" s="27">
        <v>410534</v>
      </c>
      <c r="M25" s="22" t="s">
        <v>48</v>
      </c>
      <c r="N25" s="22" t="s">
        <v>49</v>
      </c>
      <c r="O25" s="24" t="str">
        <f t="shared" si="1"/>
        <v>Westminster</v>
      </c>
      <c r="P25" s="24" t="s">
        <v>11</v>
      </c>
      <c r="Q25" s="24" t="str">
        <f t="shared" si="2"/>
        <v>Splash pads</v>
      </c>
    </row>
    <row r="26" spans="1:17" s="28" customFormat="1" ht="40">
      <c r="A26" s="22" t="s">
        <v>42</v>
      </c>
      <c r="B26" s="22" t="s">
        <v>42</v>
      </c>
      <c r="C26" s="30" t="s">
        <v>156</v>
      </c>
      <c r="D26" s="30" t="s">
        <v>156</v>
      </c>
      <c r="E26" s="22">
        <f t="shared" si="0"/>
        <v>140</v>
      </c>
      <c r="F26" s="24" t="s">
        <v>46</v>
      </c>
      <c r="G26" s="25">
        <v>92886</v>
      </c>
      <c r="H26" s="28" t="s">
        <v>154</v>
      </c>
      <c r="I26" s="24" t="s">
        <v>155</v>
      </c>
      <c r="J26" s="22" t="s">
        <v>157</v>
      </c>
      <c r="K26" s="27">
        <v>45292</v>
      </c>
      <c r="L26" s="27">
        <v>410534</v>
      </c>
      <c r="M26" s="22" t="s">
        <v>48</v>
      </c>
      <c r="N26" s="22" t="s">
        <v>49</v>
      </c>
      <c r="O26" s="24" t="str">
        <f t="shared" si="1"/>
        <v>Yorba</v>
      </c>
      <c r="P26" s="24" t="s">
        <v>11</v>
      </c>
      <c r="Q26" s="24" t="str">
        <f t="shared" si="2"/>
        <v>Splash pads</v>
      </c>
    </row>
    <row r="27" spans="1:17" s="28" customFormat="1" ht="18.5">
      <c r="A27" s="21"/>
      <c r="B27" s="22"/>
      <c r="C27" s="23"/>
      <c r="D27" s="23"/>
      <c r="E27" s="22"/>
      <c r="F27" s="32"/>
      <c r="G27" s="25"/>
      <c r="H27" s="33"/>
      <c r="I27" s="24"/>
      <c r="J27" s="22"/>
      <c r="K27" s="27"/>
      <c r="L27" s="27"/>
      <c r="M27" s="22"/>
      <c r="N27" s="22"/>
      <c r="O27" s="24"/>
      <c r="P27" s="24"/>
      <c r="Q27" s="24"/>
    </row>
    <row r="28" spans="1:17" s="12" customFormat="1" ht="18.5">
      <c r="A28" s="20"/>
      <c r="B28" s="3"/>
      <c r="C28" s="18"/>
      <c r="D28" s="18"/>
      <c r="E28" s="3"/>
      <c r="F28" s="8"/>
      <c r="G28" s="7"/>
      <c r="H28" s="6"/>
      <c r="I28" s="2"/>
      <c r="J28" s="3"/>
      <c r="K28" s="19"/>
      <c r="L28" s="19"/>
      <c r="M28" s="3"/>
      <c r="N28" s="3"/>
      <c r="O28" s="2"/>
      <c r="P28" s="2"/>
      <c r="Q28" s="2"/>
    </row>
    <row r="29" spans="1:17" s="12" customFormat="1" ht="18.5">
      <c r="A29" s="17"/>
      <c r="B29" s="3"/>
      <c r="C29" s="18"/>
      <c r="D29" s="18"/>
      <c r="E29" s="3"/>
      <c r="F29" s="8"/>
      <c r="G29" s="7"/>
      <c r="H29" s="6"/>
      <c r="I29" s="2"/>
      <c r="J29" s="3"/>
      <c r="K29" s="19"/>
      <c r="L29" s="19"/>
      <c r="M29" s="3"/>
      <c r="N29" s="3"/>
      <c r="O29" s="2"/>
      <c r="P29" s="2"/>
      <c r="Q29" s="2"/>
    </row>
    <row r="30" spans="1:17" s="12" customFormat="1" ht="18.5">
      <c r="A30" s="17"/>
      <c r="B30" s="3"/>
      <c r="C30" s="18"/>
      <c r="D30" s="18"/>
      <c r="E30" s="3"/>
      <c r="F30" s="8"/>
      <c r="G30" s="7"/>
      <c r="H30" s="6"/>
      <c r="I30" s="2"/>
      <c r="J30" s="3"/>
      <c r="K30" s="19"/>
      <c r="L30" s="19"/>
      <c r="M30" s="3"/>
      <c r="N30" s="3"/>
      <c r="O30" s="2"/>
      <c r="P30" s="2"/>
      <c r="Q30" s="2"/>
    </row>
    <row r="31" spans="1:17" s="12" customFormat="1" ht="18.5">
      <c r="A31" s="16"/>
      <c r="B31" s="3"/>
      <c r="C31" s="18"/>
      <c r="D31" s="18"/>
      <c r="E31" s="3"/>
      <c r="F31" s="8"/>
      <c r="G31" s="7"/>
      <c r="H31" s="6"/>
      <c r="I31" s="2"/>
      <c r="J31" s="3"/>
      <c r="K31" s="19"/>
      <c r="L31" s="19"/>
      <c r="M31" s="3"/>
      <c r="N31" s="3"/>
      <c r="O31" s="2"/>
      <c r="P31" s="2"/>
      <c r="Q31" s="2"/>
    </row>
    <row r="32" spans="1:17" s="12" customFormat="1" ht="18.5">
      <c r="A32" s="16"/>
      <c r="B32" s="2"/>
      <c r="C32" s="18"/>
      <c r="D32" s="18"/>
      <c r="E32" s="3"/>
      <c r="F32" s="8"/>
      <c r="G32" s="7"/>
      <c r="H32" s="6"/>
      <c r="I32" s="2"/>
      <c r="J32" s="3"/>
      <c r="K32" s="19"/>
      <c r="L32" s="19"/>
      <c r="M32" s="3"/>
      <c r="N32" s="3"/>
      <c r="O32" s="2"/>
      <c r="P32" s="2"/>
      <c r="Q32" s="2"/>
    </row>
    <row r="33" spans="1:17" s="12" customFormat="1" ht="18.5">
      <c r="A33" s="16"/>
      <c r="B33" s="3"/>
      <c r="C33" s="18"/>
      <c r="D33" s="18"/>
      <c r="E33" s="3"/>
      <c r="F33" s="8"/>
      <c r="G33" s="7"/>
      <c r="H33" s="6"/>
      <c r="I33" s="2"/>
      <c r="J33" s="3"/>
      <c r="K33" s="19"/>
      <c r="L33" s="19"/>
      <c r="M33" s="3"/>
      <c r="N33" s="3"/>
      <c r="O33" s="2"/>
      <c r="P33" s="2"/>
      <c r="Q33" s="2"/>
    </row>
    <row r="34" spans="1:17" s="12" customFormat="1" ht="18.5">
      <c r="A34" s="17"/>
      <c r="B34" s="3"/>
      <c r="C34" s="18"/>
      <c r="D34" s="18"/>
      <c r="E34" s="3"/>
      <c r="F34" s="8"/>
      <c r="G34" s="7"/>
      <c r="H34" s="6"/>
      <c r="I34" s="2"/>
      <c r="J34" s="3"/>
      <c r="K34" s="19"/>
      <c r="L34" s="19"/>
      <c r="M34" s="3"/>
      <c r="N34" s="3"/>
      <c r="O34" s="2"/>
      <c r="P34" s="2"/>
      <c r="Q34" s="2"/>
    </row>
    <row r="35" spans="1:17" s="12" customFormat="1" ht="18.5">
      <c r="A35" s="16"/>
      <c r="B35" s="3"/>
      <c r="C35" s="18"/>
      <c r="D35" s="18"/>
      <c r="E35" s="3"/>
      <c r="F35" s="8"/>
      <c r="G35" s="7"/>
      <c r="H35" s="6"/>
      <c r="I35" s="2"/>
      <c r="J35" s="3"/>
      <c r="K35" s="19"/>
      <c r="L35" s="19"/>
      <c r="M35" s="3"/>
      <c r="N35" s="3"/>
      <c r="O35" s="2"/>
      <c r="P35" s="2"/>
      <c r="Q35" s="2"/>
    </row>
    <row r="36" spans="1:17" s="12" customFormat="1" ht="18.5">
      <c r="A36" s="16"/>
      <c r="B36" s="3"/>
      <c r="C36" s="18"/>
      <c r="D36" s="18"/>
      <c r="E36" s="3"/>
      <c r="F36" s="8"/>
      <c r="G36" s="7"/>
      <c r="H36" s="6"/>
      <c r="I36" s="2"/>
      <c r="J36" s="3"/>
      <c r="K36" s="19"/>
      <c r="L36" s="19"/>
      <c r="M36" s="3"/>
      <c r="N36" s="3"/>
      <c r="O36" s="2"/>
      <c r="P36" s="2"/>
      <c r="Q36" s="2"/>
    </row>
    <row r="37" spans="1:17" s="12" customFormat="1" ht="18.5">
      <c r="A37" s="17"/>
      <c r="B37" s="3"/>
      <c r="C37" s="18"/>
      <c r="D37" s="18"/>
      <c r="E37" s="3"/>
      <c r="F37" s="8"/>
      <c r="G37" s="7"/>
      <c r="H37" s="6"/>
      <c r="I37" s="2"/>
      <c r="J37" s="3"/>
      <c r="K37" s="19"/>
      <c r="L37" s="19"/>
      <c r="M37" s="3"/>
      <c r="N37" s="3"/>
      <c r="O37" s="2"/>
      <c r="P37" s="2"/>
      <c r="Q37" s="2"/>
    </row>
    <row r="38" spans="1:17" s="12" customFormat="1" ht="18.5">
      <c r="A38" s="16"/>
      <c r="B38" s="3"/>
      <c r="C38" s="18"/>
      <c r="D38" s="18"/>
      <c r="E38" s="3"/>
      <c r="F38" s="8"/>
      <c r="G38" s="7"/>
      <c r="H38" s="6"/>
      <c r="I38" s="2"/>
      <c r="J38" s="3"/>
      <c r="K38" s="19"/>
      <c r="L38" s="19"/>
      <c r="M38" s="3"/>
      <c r="N38" s="3"/>
      <c r="O38" s="2"/>
      <c r="P38" s="2"/>
      <c r="Q38" s="2"/>
    </row>
    <row r="39" spans="1:17" s="12" customFormat="1" ht="18.5">
      <c r="A39" s="16"/>
      <c r="B39" s="3"/>
      <c r="C39" s="18"/>
      <c r="D39" s="18"/>
      <c r="E39" s="3"/>
      <c r="F39" s="8"/>
      <c r="G39" s="7"/>
      <c r="H39" s="6"/>
      <c r="I39" s="2"/>
      <c r="J39" s="3"/>
      <c r="K39" s="19"/>
      <c r="L39" s="19"/>
      <c r="M39" s="3"/>
      <c r="N39" s="3"/>
      <c r="O39" s="2"/>
      <c r="P39" s="2"/>
      <c r="Q39" s="2"/>
    </row>
    <row r="40" spans="1:17" s="12" customFormat="1" ht="18.5">
      <c r="A40" s="20"/>
      <c r="B40" s="3"/>
      <c r="C40" s="18"/>
      <c r="D40" s="18"/>
      <c r="E40" s="3"/>
      <c r="F40" s="8"/>
      <c r="G40" s="7"/>
      <c r="H40" s="6"/>
      <c r="I40" s="2"/>
      <c r="J40" s="3"/>
      <c r="K40" s="19"/>
      <c r="L40" s="19"/>
      <c r="M40" s="3"/>
      <c r="N40" s="3"/>
      <c r="O40" s="2"/>
      <c r="P40" s="2"/>
      <c r="Q40" s="2"/>
    </row>
    <row r="41" spans="1:17" s="12" customFormat="1" ht="18.5">
      <c r="A41" s="16"/>
      <c r="B41" s="3"/>
      <c r="C41" s="18"/>
      <c r="D41" s="18"/>
      <c r="E41" s="3"/>
      <c r="F41" s="8"/>
      <c r="G41" s="7"/>
      <c r="H41" s="6"/>
      <c r="I41" s="2"/>
      <c r="J41" s="3"/>
      <c r="K41" s="19"/>
      <c r="L41" s="19"/>
      <c r="M41" s="3"/>
      <c r="N41" s="3"/>
      <c r="O41" s="2"/>
      <c r="P41" s="2"/>
      <c r="Q41" s="2"/>
    </row>
    <row r="42" spans="1:17" s="12" customFormat="1" ht="18.5">
      <c r="A42" s="16"/>
      <c r="B42" s="3"/>
      <c r="C42" s="18"/>
      <c r="D42" s="18"/>
      <c r="E42" s="3"/>
      <c r="F42" s="8"/>
      <c r="G42" s="7"/>
      <c r="H42" s="6"/>
      <c r="I42" s="2"/>
      <c r="J42" s="3"/>
      <c r="K42" s="19"/>
      <c r="L42" s="19"/>
      <c r="M42" s="3"/>
      <c r="N42" s="3"/>
      <c r="O42" s="2"/>
      <c r="P42" s="2"/>
      <c r="Q42" s="2"/>
    </row>
    <row r="43" spans="1:17" s="12" customFormat="1" ht="133" customHeight="1">
      <c r="A43" s="17"/>
      <c r="B43" s="3"/>
      <c r="C43" s="18"/>
      <c r="D43" s="18"/>
      <c r="E43" s="3"/>
      <c r="F43" s="8"/>
      <c r="G43" s="7"/>
      <c r="H43" s="6"/>
      <c r="I43" s="2"/>
      <c r="J43" s="3"/>
      <c r="K43" s="19"/>
      <c r="L43" s="19"/>
      <c r="M43" s="3"/>
      <c r="N43" s="3"/>
      <c r="O43" s="2"/>
      <c r="P43" s="2"/>
      <c r="Q43" s="2"/>
    </row>
    <row r="44" spans="1:17" s="12" customFormat="1" ht="18.5">
      <c r="A44" s="16"/>
      <c r="B44" s="3"/>
      <c r="C44" s="18"/>
      <c r="D44" s="18"/>
      <c r="E44" s="3"/>
      <c r="F44" s="7"/>
      <c r="G44" s="7"/>
      <c r="H44" s="6"/>
      <c r="I44" s="2"/>
      <c r="J44" s="3"/>
      <c r="K44" s="19"/>
      <c r="L44" s="19"/>
      <c r="M44" s="3"/>
      <c r="N44" s="3"/>
      <c r="O44" s="2"/>
      <c r="P44" s="2"/>
      <c r="Q44" s="2"/>
    </row>
    <row r="45" spans="1:17" s="12" customFormat="1" ht="18.5">
      <c r="A45" s="16"/>
      <c r="B45" s="3"/>
      <c r="C45" s="18"/>
      <c r="D45" s="18"/>
      <c r="E45" s="3"/>
      <c r="F45" s="7"/>
      <c r="G45" s="6"/>
      <c r="H45" s="7"/>
      <c r="I45" s="2"/>
      <c r="J45" s="3"/>
      <c r="K45" s="19"/>
      <c r="L45" s="19"/>
      <c r="M45" s="3"/>
      <c r="N45" s="3"/>
      <c r="O45" s="2"/>
      <c r="P45" s="2"/>
      <c r="Q45" s="2"/>
    </row>
    <row r="46" spans="1:17" s="12" customFormat="1" ht="18.5">
      <c r="A46" s="16"/>
      <c r="B46" s="3"/>
      <c r="C46" s="18"/>
      <c r="D46" s="18"/>
      <c r="E46" s="3"/>
      <c r="F46" s="8"/>
      <c r="G46" s="6"/>
      <c r="H46" s="7"/>
      <c r="I46" s="2"/>
      <c r="J46" s="3"/>
      <c r="K46" s="19"/>
      <c r="L46" s="19"/>
      <c r="M46" s="3"/>
      <c r="N46" s="3"/>
      <c r="O46" s="2"/>
      <c r="P46" s="2"/>
      <c r="Q46" s="2"/>
    </row>
    <row r="47" spans="1:17" s="12" customFormat="1" ht="18.5">
      <c r="A47" s="20"/>
      <c r="B47" s="3"/>
      <c r="C47" s="18"/>
      <c r="D47" s="18"/>
      <c r="E47" s="3"/>
      <c r="F47" s="8"/>
      <c r="G47" s="6"/>
      <c r="H47" s="7"/>
      <c r="I47" s="8"/>
      <c r="J47" s="3"/>
      <c r="K47" s="19"/>
      <c r="L47" s="19"/>
      <c r="M47" s="3"/>
      <c r="N47" s="3"/>
      <c r="O47" s="2"/>
      <c r="P47" s="2"/>
      <c r="Q47" s="2"/>
    </row>
    <row r="48" spans="1:17" ht="17">
      <c r="A48" s="14"/>
      <c r="B48" s="14"/>
      <c r="C48" s="14"/>
      <c r="D48" s="14"/>
      <c r="E48" s="13"/>
      <c r="F48" s="8"/>
      <c r="G48" s="14"/>
      <c r="H48" s="14"/>
      <c r="I48" s="14"/>
      <c r="J48" s="14"/>
      <c r="K48" s="9"/>
      <c r="L48" s="9"/>
      <c r="M48" s="3"/>
      <c r="N48" s="3"/>
      <c r="O48" s="2"/>
      <c r="P48" s="2"/>
      <c r="Q48" s="2"/>
    </row>
    <row r="49" spans="1:17" ht="17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9"/>
      <c r="L49" s="9"/>
      <c r="M49" s="3"/>
      <c r="N49" s="3"/>
      <c r="O49" s="2"/>
      <c r="P49" s="2"/>
      <c r="Q49" s="2"/>
    </row>
    <row r="50" spans="1:17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5"/>
      <c r="L50" s="15"/>
      <c r="M50" s="14"/>
      <c r="N50" s="14"/>
      <c r="O50" s="14"/>
      <c r="P50" s="14"/>
      <c r="Q50" s="14"/>
    </row>
  </sheetData>
  <autoFilter ref="A1:Q35" xr:uid="{63DA3E44-3605-449C-AE11-8D4FB01A0BBE}">
    <sortState xmlns:xlrd2="http://schemas.microsoft.com/office/spreadsheetml/2017/richdata2" ref="A2:Q35">
      <sortCondition ref="B1:B35"/>
    </sortState>
  </autoFilter>
  <pageMargins left="0.25" right="0.25" top="0.75" bottom="0.75" header="0.3" footer="0.3"/>
  <pageSetup scale="8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Splash pads</vt:lpstr>
      <vt:lpstr>'Splash pads'!Print_Area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McCarl</dc:creator>
  <cp:lastModifiedBy>Wendy McCarl</cp:lastModifiedBy>
  <cp:lastPrinted>2024-07-15T01:55:09Z</cp:lastPrinted>
  <dcterms:created xsi:type="dcterms:W3CDTF">2024-03-17T21:07:34Z</dcterms:created>
  <dcterms:modified xsi:type="dcterms:W3CDTF">2024-07-20T18:38:19Z</dcterms:modified>
</cp:coreProperties>
</file>