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916" documentId="8_{7A2D847F-C9CD-44B9-92B8-5D3AC0F7D791}" xr6:coauthVersionLast="47" xr6:coauthVersionMax="47" xr10:uidLastSave="{A80761A9-2821-4710-AA3F-819BF348098F}"/>
  <bookViews>
    <workbookView xWindow="-110" yWindow="-110" windowWidth="19420" windowHeight="11500" xr2:uid="{3F4AF157-4EA4-44F9-9369-4ED39BF1C451}"/>
  </bookViews>
  <sheets>
    <sheet name="Scavenger" sheetId="2" r:id="rId1"/>
  </sheets>
  <definedNames>
    <definedName name="_xlnm._FilterDatabase" localSheetId="0" hidden="1">Scavenger!$A$1:$Q$42</definedName>
    <definedName name="_xlnm.Print_Area" localSheetId="0">Scavenger!$A$1:$B$39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9" i="2" l="1"/>
  <c r="Q30" i="2"/>
  <c r="Q39" i="2"/>
  <c r="O29" i="2"/>
  <c r="O30" i="2"/>
  <c r="O39" i="2"/>
  <c r="E29" i="2"/>
  <c r="E30" i="2"/>
  <c r="E39" i="2"/>
  <c r="Q27" i="2"/>
  <c r="Q3" i="2"/>
  <c r="Q20" i="2"/>
  <c r="Q2" i="2"/>
  <c r="Q5" i="2"/>
  <c r="Q32" i="2"/>
  <c r="Q15" i="2"/>
  <c r="Q24" i="2"/>
  <c r="Q22" i="2"/>
  <c r="Q25" i="2"/>
  <c r="Q14" i="2"/>
  <c r="Q9" i="2"/>
  <c r="Q11" i="2"/>
  <c r="Q42" i="2"/>
  <c r="Q23" i="2"/>
  <c r="Q4" i="2"/>
  <c r="Q33" i="2"/>
  <c r="Q10" i="2"/>
  <c r="Q13" i="2"/>
  <c r="Q41" i="2"/>
  <c r="Q36" i="2"/>
  <c r="Q21" i="2"/>
  <c r="E17" i="2"/>
  <c r="E27" i="2"/>
  <c r="E3" i="2"/>
  <c r="E20" i="2"/>
  <c r="E2" i="2"/>
  <c r="E5" i="2"/>
  <c r="E32" i="2"/>
  <c r="E15" i="2"/>
  <c r="E24" i="2"/>
  <c r="E22" i="2"/>
  <c r="E25" i="2"/>
  <c r="E14" i="2"/>
  <c r="E9" i="2"/>
  <c r="E11" i="2"/>
  <c r="E42" i="2"/>
  <c r="E23" i="2"/>
  <c r="E4" i="2"/>
  <c r="E33" i="2"/>
  <c r="E10" i="2"/>
  <c r="E13" i="2"/>
  <c r="E41" i="2"/>
  <c r="E36" i="2"/>
  <c r="E21" i="2"/>
  <c r="O17" i="2"/>
  <c r="O27" i="2"/>
  <c r="O3" i="2"/>
  <c r="O20" i="2"/>
  <c r="O2" i="2"/>
  <c r="O5" i="2"/>
  <c r="O32" i="2"/>
  <c r="O15" i="2"/>
  <c r="O24" i="2"/>
  <c r="O22" i="2"/>
  <c r="O25" i="2"/>
  <c r="O14" i="2"/>
  <c r="O9" i="2"/>
  <c r="O11" i="2"/>
  <c r="O42" i="2"/>
  <c r="O23" i="2"/>
  <c r="O4" i="2"/>
  <c r="O33" i="2"/>
  <c r="O10" i="2"/>
  <c r="O13" i="2"/>
  <c r="O41" i="2"/>
  <c r="O36" i="2"/>
  <c r="O21" i="2"/>
  <c r="Q6" i="2"/>
  <c r="E6" i="2"/>
  <c r="O6" i="2"/>
  <c r="Q40" i="2"/>
  <c r="E40" i="2"/>
  <c r="O40" i="2"/>
  <c r="Q34" i="2"/>
  <c r="E34" i="2"/>
  <c r="Q19" i="2"/>
  <c r="Q31" i="2"/>
  <c r="O26" i="2"/>
  <c r="O19" i="2"/>
  <c r="O31" i="2"/>
  <c r="E31" i="2"/>
  <c r="Q18" i="2"/>
  <c r="Q28" i="2"/>
  <c r="Q16" i="2"/>
  <c r="Q35" i="2"/>
  <c r="Q37" i="2"/>
  <c r="Q17" i="2"/>
  <c r="Q7" i="2"/>
  <c r="Q38" i="2"/>
  <c r="Q8" i="2"/>
  <c r="Q12" i="2"/>
  <c r="Q26" i="2"/>
  <c r="O18" i="2"/>
  <c r="O28" i="2"/>
  <c r="O16" i="2"/>
  <c r="O35" i="2"/>
  <c r="O37" i="2"/>
  <c r="O7" i="2"/>
  <c r="O38" i="2"/>
  <c r="O8" i="2"/>
  <c r="O12" i="2"/>
  <c r="E18" i="2"/>
  <c r="E28" i="2"/>
  <c r="E16" i="2"/>
  <c r="E35" i="2"/>
  <c r="E37" i="2"/>
  <c r="E7" i="2"/>
  <c r="E38" i="2"/>
  <c r="E8" i="2"/>
  <c r="E12" i="2"/>
  <c r="E26" i="2"/>
  <c r="E19" i="2"/>
</calcChain>
</file>

<file path=xl/sharedStrings.xml><?xml version="1.0" encoding="utf-8"?>
<sst xmlns="http://schemas.openxmlformats.org/spreadsheetml/2006/main" count="468" uniqueCount="297">
  <si>
    <t>Event</t>
  </si>
  <si>
    <t>Focus Keyphrase</t>
  </si>
  <si>
    <t>Zip code</t>
  </si>
  <si>
    <t>Event location</t>
  </si>
  <si>
    <t>Registration email/URL</t>
  </si>
  <si>
    <t>Start date</t>
  </si>
  <si>
    <t>End date</t>
  </si>
  <si>
    <t>Event category</t>
  </si>
  <si>
    <t>Event type</t>
  </si>
  <si>
    <t>Event thumbnail</t>
  </si>
  <si>
    <t>Banner name
(in folder, to upload)</t>
  </si>
  <si>
    <t>Title</t>
  </si>
  <si>
    <t>Top Box</t>
  </si>
  <si>
    <t>Meta Description 
(160 max words)</t>
  </si>
  <si>
    <t>Cell count</t>
  </si>
  <si>
    <t>Event category
(only 1)</t>
  </si>
  <si>
    <t>HB hustle SH</t>
  </si>
  <si>
    <t>Looney laguna beach SH</t>
  </si>
  <si>
    <t>Adventurous SH in Garden grove</t>
  </si>
  <si>
    <t>Nutty NW SH</t>
  </si>
  <si>
    <t>SC Scramble</t>
  </si>
  <si>
    <t>Geocaching app</t>
  </si>
  <si>
    <t xml:space="preserve">Santa ana SH </t>
  </si>
  <si>
    <t>Escape room</t>
  </si>
  <si>
    <t>Murder Mystery</t>
  </si>
  <si>
    <t>https://www.murdermysteryscavengerhunt.com/</t>
  </si>
  <si>
    <t>Scavenger</t>
  </si>
  <si>
    <t>Group</t>
  </si>
  <si>
    <t>This Murder Myster Scavenger Hunt is designed to be fun for adults. This fun &amp; unique competition where you'll find out how sharp your detective skills are.</t>
  </si>
  <si>
    <t>https://www.irvineparkrailroad.com/field-trips/surrey-scavenger-hunt/</t>
  </si>
  <si>
    <t>Irvine Park Scavenger Hunt</t>
  </si>
  <si>
    <t>This scavenger hunt explores the beautiful outdoors while competing in a fun fast-paced bike ride. Work together with friends or co-workers and compete for the best time and total scores. The Surrey Scavenger Hunt is great for corporate team building, company picnics, summer camps, and more. Groups of 2 people are situated on a Single Surrey, and groups of 4 are situated on a Double Surrey with a 1 ½ hour time limit.</t>
  </si>
  <si>
    <t>Groups of 2 people are situated on a Single Surrey, and groups of 4 are situated on a Double Surrey with a 1 ½ hour time limit.</t>
  </si>
  <si>
    <t xml:space="preserve">1 Irvine Park Rd. Orange, CA </t>
  </si>
  <si>
    <t>Get out of the office and experience a memorable group activity in scenic Huntington Beach or the Orange County location of your choice. Downtown Detectives scavenger hunts is the perfect team building event for groups of 8-40 people for our city-specific games or up to 100 people for our any-location game.</t>
  </si>
  <si>
    <t>Downtown Detectives Scavenger Hunts</t>
  </si>
  <si>
    <t>Downtown Detectives scavenger hunts is the perfect team building event for groups of 8-40 or up to 100 people for our any-location game.</t>
  </si>
  <si>
    <t>https://puzzlingadventures.com/city.php?buy=y&amp;s=CA</t>
  </si>
  <si>
    <t>Puzzling Adventures Scavenger Hunts</t>
  </si>
  <si>
    <t>Puzzling Adventures are a cross between a scavenger hunt, an amazing race, and a self-guided walking tour.</t>
  </si>
  <si>
    <t>https://www.eventbrite.com/e/huntington-beach-hustle-scavenger-hunt-tickets-697347293527</t>
  </si>
  <si>
    <t>7225 Edinger Avenue #J Huntington Beach, CA</t>
  </si>
  <si>
    <t>Huntington Beach Hustle scavenger hunt - You'll get your digital quest from your live and interactive remote host &amp; then take off on your own experience!</t>
  </si>
  <si>
    <t>https://www.eventbrite.com/e/looney-laguna-beach-scavenger-hunt-tickets-693261422577</t>
  </si>
  <si>
    <t>Huntington Beach Hustle Scavenger Hunt - Your creative, nontraditional scavenger hunt begins at a scenic spot that's a local favorite. You'll get your digital quest from your live and interactive remote host. Then you’ll take off on your own to experience a wide variety of carefully curated locations in town. You'll walk or drive to the various checkpoints as you interpret creative tasks, accept wacky challenges, and get outside your comfort zone!</t>
  </si>
  <si>
    <t>Looney Laguna Beach Scavenger Hunt - Your creative, nontraditional scavenger hunt begins at a scenic spot that's a local favorite. You'll get your digital quest from your live and interactive remote host. Then you’ll take off on your own to experience a wide variety of carefully curated locations in town. You'll walk or drive to the various checkpoints as you interpret creative tasks, accept wacky challenges, and get outside your comfort zone!</t>
  </si>
  <si>
    <t>Looney Laguna Beach Scavenger Hunt - You'll walk or drive to the various checkpoints as you interpret creative tasks, accept wacky challenges!</t>
  </si>
  <si>
    <t xml:space="preserve">308 North Pacific Coast Highway Laguna Beach, CA </t>
  </si>
  <si>
    <t>https://www.zombiescavengers.com/event-details/zombie-scavengers-united-states</t>
  </si>
  <si>
    <t xml:space="preserve">11200 Stanford Ave, Garden Grove, CA </t>
  </si>
  <si>
    <t xml:space="preserve">Zombie Scavengers of Garden Grove, you'll find survival objects around the city, to get points &amp; do fun zombie themed challenges for points. </t>
  </si>
  <si>
    <t>https://www.eventbrite.com/e/nutty-newport-beach-ca-scavenger-hunt-tickets-698954219887</t>
  </si>
  <si>
    <t xml:space="preserve">3330 East Coast Highway Newport Beach, CA </t>
  </si>
  <si>
    <t>Nutty Newport Beach Scavenger Hunt - Your creative, nontraditional scavenger hunt begins at a scenic spot that's a local favorite. You'll get your digital quest from your live and interactive remote host. Then you’ll take off on your own to experience a wide variety of carefully curated locations in town. You'll walk or drive to the various checkpoints as you interpret creative tasks, accept wacky challenges, and get outside your comfort zone!</t>
  </si>
  <si>
    <t>Nutty Newport Beach Scavenger Hunt - You'll walk or drive to the various checkpoints as you interpret creative tasks, accept wacky challenges!</t>
  </si>
  <si>
    <t>https://www.eventbrite.com/e/san-clemente-scramble-scavenger-hunt-tickets-696902142067</t>
  </si>
  <si>
    <t xml:space="preserve">1001 South El Camino Real San Clemente, CA </t>
  </si>
  <si>
    <t>San Clemente Scavenger Hunt - Your creative, nontraditional scavenger hunt begins at a scenic spot that's a local favorite. You'll get your digital quest from your live and interactive remote host. Then you’ll take off on your own to experience a wide variety of carefully curated locations in town. You'll walk or drive to the various checkpoints as you interpret creative tasks, accept wacky challenges, and get outside your comfort zone!</t>
  </si>
  <si>
    <t>San Clemente Scramble scavenger hunt - You'll get your digital quest from your live and interactive remote host &amp; then take off on your own experience!</t>
  </si>
  <si>
    <t>https://www.eventbrite.com/e/scavenger-hunt-anaheim-tickets-930577922617</t>
  </si>
  <si>
    <t>Anaheim Scavenger Hunt</t>
  </si>
  <si>
    <t xml:space="preserve">355 S Coyote Ln Anaheim, CA </t>
  </si>
  <si>
    <t>This Anaheim Scavenger Hunt is a family friendly activity played by following instructions provided on your mobile device by the in-game host. Fill your virtual scavenger sack with the items you help choose through riddle-like clues! Explore your surroundings, attempting to quickly locate a variety of items as they are revealed one at a time by your game master.</t>
  </si>
  <si>
    <t xml:space="preserve">This Anaheim Scavenger Hunt is a family friendly activity played by following instructions provided on your mobile device by the in-game host. </t>
  </si>
  <si>
    <t>Mission Viejo</t>
  </si>
  <si>
    <t>https://www.letsroam.com/scavenger_hunt/downtown-mission-viejo-california-scavenger-hunt</t>
  </si>
  <si>
    <t>Join us on this enchanting Mission Viejo, California scavenger hunt that will take you through the heart of Downtown‘s wonder-packed neighborhood. Unravel magical secrets along the Oso Creek Fairy Trail and pay a visit to mythical creatures guarding shimmering fountains. Discover the spirit of artistic creativity at a delightful exhibition, and be inspired by an undulating wave of compelling intrigue. Unleash your inner adventurer and solve riddles about memorable monuments celebrating freedom and community.</t>
  </si>
  <si>
    <t xml:space="preserve">Mission Viejo scavenger hunt that will take you thru the heart of Downtown‘s neighborhood. Unravel magical secrets &amp; pay a visit to the shimmering fountains. </t>
  </si>
  <si>
    <t>https://www.scavengerhunt.com/locations/Downtown-_Santa_Ana_Scavenger_Hunt.html</t>
  </si>
  <si>
    <t>Two hours. One epic Santa Ana scavenger hunt adventure. Your team will solve puzzles, complete challenges, and explore historic landmarks. On this modern day treasure hunt in Santa Ana you will compete for the top spot in your city. You can start your scavenger hunt any time your group is ready.</t>
  </si>
  <si>
    <t xml:space="preserve">Two hours. One epic Santa Ana scavenger hunt adventure. Your team will solve puzzles, complete challenges, and explore historic landmarks. </t>
  </si>
  <si>
    <t>Santa Ana, CA</t>
  </si>
  <si>
    <t>https://www.redlanternescaperooms.com/?utm_source=google&amp;utm_medium=cpc&amp;utm_campaign=escape-room-oc&amp;gad_source=1&amp;gclid=CjwKCAjw4_K0BhBsEiwAfVVZ_z3oooBzjGwgYqAQz-ZF9tYIyrpn94VPW96QXytEakUC8GkXiMyaPRoCJbwQAvD_BwE</t>
  </si>
  <si>
    <t xml:space="preserve">471 West Lambert, Suite 108 Brea, CA </t>
  </si>
  <si>
    <t>Red Lantern Escape Rooms are home to the largest escape room and scavenger hunt in Orange County and family owned since 2017.</t>
  </si>
  <si>
    <t>Red Lantern Escape Rooms are home to the largest escape room/scavenger hunt in Orange County and family owned since 2017.</t>
  </si>
  <si>
    <t xml:space="preserve">1622 Edinger Ave. Suite C, Tustin, CA </t>
  </si>
  <si>
    <t>At Intrepid Escape Room/scavenger hut, you choose a theme. Do you want to sneak into and explore an abandoned subway station, investigate a mysterious disappearance in a famous anthropologist’s study, or search for treasure in an ancient pirate ship? Our Intrepid adventure guides will transport you to a room carefully crafted to immerse your group in your chosen adventure. You’ll have to work as a team to decode ciphers, find keys, solve puzzles, and spot clues as you seek to accomplish the mission before time runs out.</t>
  </si>
  <si>
    <t xml:space="preserve">Intrepid Escape Room/scavenger hut, you can explore an abandoned subway station, investigate a mysterious disappearance or search an ancient pirate ship? </t>
  </si>
  <si>
    <t>https://intrepidescaperooms.com/?gad_source=1&amp;gclid=CjwKCAjw4_K0BhBsEiwAfVVZ_yho6O2uc3x-_t9L1uNAjtseLcVl67fRPJbDT16T9207k0QIkkWAqRoCxjEQAvD_BwE</t>
  </si>
  <si>
    <t>Intrepid escape room</t>
  </si>
  <si>
    <t xml:space="preserve">400 Disney Way #313, Anaheim, CA </t>
  </si>
  <si>
    <t>https://missionescapegames.com/anaheim/</t>
  </si>
  <si>
    <r>
      <t>At the Mission Escape room/scavenger hunt, you can choose from our selection of games where </t>
    </r>
    <r>
      <rPr>
        <sz val="8"/>
        <rFont val="Aptos Narrow"/>
        <family val="2"/>
        <scheme val="minor"/>
      </rPr>
      <t>you are the main character of the story.</t>
    </r>
  </si>
  <si>
    <t>Mission escape room</t>
  </si>
  <si>
    <r>
      <t>At the Mission Escape room/scavenger hunt, you can choose from our selection of games where </t>
    </r>
    <r>
      <rPr>
        <sz val="8"/>
        <rFont val="Aptos Narrow"/>
        <family val="2"/>
        <scheme val="minor"/>
      </rPr>
      <t>you are the main character of the story. Explore a world built by amusement park designers where magic and hidden surprises are waiting for you, Enjoy memorable moments while you laugh, scream and yell as you complete your mission.</t>
    </r>
  </si>
  <si>
    <t>Brea - Red Lantern Escape Room</t>
  </si>
  <si>
    <t>Tustin - Intrepid Escape Room</t>
  </si>
  <si>
    <t>Anaheim - Mission Escape Room</t>
  </si>
  <si>
    <t>Brea - Red</t>
  </si>
  <si>
    <t>Tustin - Intrepid</t>
  </si>
  <si>
    <t>Anaheim - Mission</t>
  </si>
  <si>
    <t>The escape game</t>
  </si>
  <si>
    <t>Irvine - The Escape Game Escape Room</t>
  </si>
  <si>
    <t>https://theescapegame.com/irvine/</t>
  </si>
  <si>
    <t xml:space="preserve">655 Spectrum Center Drive Irvine,CA </t>
  </si>
  <si>
    <t>Escape</t>
  </si>
  <si>
    <t>The Escape Game Irvine is a live 60-minute adventure. You and your team will select a challenge and will have one hour to complete your mission and escape. We offer several unique experiences, all happening in a completely immersive environment. You may be in prison planning an escape, on the hunt for gold or in a museum stealing back a piece of art.</t>
  </si>
  <si>
    <t xml:space="preserve">The Escape Game Irvine is a live 60-minute adventure. You and your team will select a challenge and will have one hour to complete your mission and escape. </t>
  </si>
  <si>
    <t>Escape room era</t>
  </si>
  <si>
    <t>Brainy Actz Escape Room</t>
  </si>
  <si>
    <t>Cross Roads Escape Room</t>
  </si>
  <si>
    <t>Exodus Escape Room</t>
  </si>
  <si>
    <t>Cinema Escape Room</t>
  </si>
  <si>
    <t>Wild Goose Escape Room</t>
  </si>
  <si>
    <t>Hidden Donkey Escape Room</t>
  </si>
  <si>
    <t>No. 1 Escapes Escape Room</t>
  </si>
  <si>
    <t>Escapade Games Escape Room</t>
  </si>
  <si>
    <t>EscapeX Escape Room</t>
  </si>
  <si>
    <t>Scenario Escape Room</t>
  </si>
  <si>
    <t>Unlocked Escape Room</t>
  </si>
  <si>
    <t>Escape VR</t>
  </si>
  <si>
    <t>Fire Loop VR</t>
  </si>
  <si>
    <t>Exit Games Escape Room</t>
  </si>
  <si>
    <t>Nerdy by Nature Escape Room</t>
  </si>
  <si>
    <t>Legacy Escape Room</t>
  </si>
  <si>
    <t>Kryptic Tales Escape Room</t>
  </si>
  <si>
    <t>King's Eye Escape Room</t>
  </si>
  <si>
    <t>Entangled Escape Room</t>
  </si>
  <si>
    <t>Escape Room 66</t>
  </si>
  <si>
    <t>Breach Escape Room</t>
  </si>
  <si>
    <t>Deceptive Games Escape Room</t>
  </si>
  <si>
    <t>Escapement Escape Rooms</t>
  </si>
  <si>
    <t>https://www.escaperoomera.com/anaheim</t>
  </si>
  <si>
    <t xml:space="preserve">3365 E Miraloma Ave Suite 202, Anaheim, CA </t>
  </si>
  <si>
    <t>Whether players consist of co-workers, family, friends, classmates, or a couple on a date, they’ll be bonded by a memorable experience, here at Escape Room Era! We’ve been open since 2017 and currently have three rooms! Feel free to check out The Overgrown, Christmas at Franklin’s, and The Hide! Stay for one hour and leave with memories for a lifetime!</t>
  </si>
  <si>
    <t xml:space="preserve">Here at Escape Room Era, we’ve been open since 2017 and currently have three rooms! </t>
  </si>
  <si>
    <t>If you are looking to find an exciting escape room challenge nearby, then experiencing one of Brainy Actz Escape Rooms Irvine is the ideal team building activity or event venue. They are real-life puzzle room adventure that puts you in a room for 60 minutes, with up to 10 people. The goal is to try to solve different objectives and puzzles so you and your team can ultimately exit the room before the clock runs out.</t>
  </si>
  <si>
    <t xml:space="preserve">If you are looking to find an exciting escape room challenge nearby, then experiencing one of Brainy Actz Escape Rooms Irvine is the ideal activity. </t>
  </si>
  <si>
    <t xml:space="preserve">17981 Sky Park Cir Bldg 39, Suite N, Irvine, CA </t>
  </si>
  <si>
    <t>Irvine - Brainy</t>
  </si>
  <si>
    <t>https://www.brainyactzescaperooms.com/irvine-ca/</t>
  </si>
  <si>
    <t>Cross Roads Escape Games in Anaheim, is a real life adventure game where you are working with your friends and racing against the clock! With only 1 hour to escape, you must work as a team to search for clues and discover all the secrets before time runs out. Voted one of the top 3 escape rooms in the nation, Cross Roads is the next level of immersive entertainment with 3 award winning games: The Hex Room, The Fun House, and The Weeping Witch.</t>
  </si>
  <si>
    <t xml:space="preserve">Cross Roads Escape Games in Anaheim, is a real life adventure game where you are working with your friends and racing against the clock! </t>
  </si>
  <si>
    <t>Anaheim - Cross</t>
  </si>
  <si>
    <t xml:space="preserve">4245 E La Palma Ave, Anaheim, CA </t>
  </si>
  <si>
    <t>https://crossroadsescapegames.com/</t>
  </si>
  <si>
    <t>Forever Memories! Whether you want FAMILY FUN, Corporate TEAM-BUILDING, or just to experience something NEW and Exciting, we are the place for you! MYSTERY, INTRIGUE, SUSPENSE, and more, all wrapped into a magical one-hour experience that you'll never forget! Recently we opened our all new ELEVATOR! It is a truly immersive and amazing experience. Check us out soon!</t>
  </si>
  <si>
    <t xml:space="preserve">Forever Memories! Whether you want FAMILY FUN, Corporate TEAM-BUILDING, or just to experience something NEW and Exciting, we are the place for you! </t>
  </si>
  <si>
    <t>5642 E La Palma Ave Unit 202, Anaheim, CA</t>
  </si>
  <si>
    <t>Anaheim - Exodus</t>
  </si>
  <si>
    <t>https://exodusescaperoom.com/</t>
  </si>
  <si>
    <t>Cinema Escape Room offers a one of a kind Escape mission. Find clues, solve puzzles and race the clock in your very own psychological adventure.</t>
  </si>
  <si>
    <t xml:space="preserve">4298 Katella Ave, Los Alamitos, CA </t>
  </si>
  <si>
    <t>Los - Cinema</t>
  </si>
  <si>
    <t>https://cinemaescaperooms.com/escape-rooms/</t>
  </si>
  <si>
    <t>Wild Goose Escapes is the biggest escape room in Fullerton, Orange County. We have another location in Huntington Beach, Orange County. Experience a new reality game and use your logic skills to reveal secret codes and unlock the clues to help you accomplish your mission! Whether you are looking for a date night, a night of family fun or just something to do, come check us out!! Specializing in corporate team buildings, office parties, family reunions, special events and parties we are fun for everyone! Book Now!</t>
  </si>
  <si>
    <t xml:space="preserve">Wild Goose Escapes is the biggest escape room in Fullerton, Orange County. We have another location in Huntington Beach, Orange County. </t>
  </si>
  <si>
    <t xml:space="preserve">123 W Amerige Ave, Fullerton, CA </t>
  </si>
  <si>
    <t>Fullerton - Wild</t>
  </si>
  <si>
    <t>https://wildgooseescapes.com/</t>
  </si>
  <si>
    <t>If you’ve ever been interested in becoming a wizard, this is the Escape Room for you! There is no other place in Orange County where you could go on a journey as magical as this.</t>
  </si>
  <si>
    <t>If you’ve ever been interested in becoming a wizard, this is the Escape Room for you! There is no other place in OC where you could go on a journey as magical.</t>
  </si>
  <si>
    <t xml:space="preserve">17925 Sky Park Cir Ste B, Irvine, CA </t>
  </si>
  <si>
    <t>Irvine - Hidden</t>
  </si>
  <si>
    <t>https://hiddendonkey.com/</t>
  </si>
  <si>
    <t>Great for couples, groups, and coworkers. This is not your typical night out! EscapeX Escape rooms join the fun of scavenger hunts with the mystery of puzzles and riddles. Participants are put in a room and have to use their skills of deduction and observation in order to get out! Escape rooms, interactive group activity, adventure/challenge games, team building activity, Escape games, family fun</t>
  </si>
  <si>
    <t xml:space="preserve">EscapeX Escape rooms join the fun of scavenger hunts with the mystery of puzzles and riddles. </t>
  </si>
  <si>
    <t xml:space="preserve">17981 Sky Park Cir Suite H, Irvine, CA </t>
  </si>
  <si>
    <t>Irvine - Escapex</t>
  </si>
  <si>
    <t>https://www.escapexrooms.com/</t>
  </si>
  <si>
    <t>Irvine's Best Escape Room, No. 1 -- Treasure of the Nation escape now open!</t>
  </si>
  <si>
    <t xml:space="preserve">17777 Main St Suite C-2, Irvine, CA </t>
  </si>
  <si>
    <t>Irvine - No</t>
  </si>
  <si>
    <t>https://www.no1escapes.com/</t>
  </si>
  <si>
    <t>Escapade Games is one of the biggest HORROR escape rooms in California. No crowds. Full immersion. Only you, five other members of your team and a real actor, who will be interecting with you while you'll be trying to escape!</t>
  </si>
  <si>
    <t xml:space="preserve">Escapade Games is one of the biggest HORROR escape rooms in California. No crowds. Full immersion. </t>
  </si>
  <si>
    <t xml:space="preserve">624 N Harbor Blvd, Fullerton, CA </t>
  </si>
  <si>
    <t>Fullerton - Escapade</t>
  </si>
  <si>
    <t>https://www.escaperoomera.com/escapade-games</t>
  </si>
  <si>
    <t>Scenario Escape Room is a live, interactive experience where friends and families immerse themselves in a unique story and work together for an unforgettable hour of fun, entertainment, and teamwork.</t>
  </si>
  <si>
    <t>Scenario Escape Room is a live, interactive experience where friends immerse themselves in a unique story and work together for an unforgettable hour of fun.</t>
  </si>
  <si>
    <t xml:space="preserve">131 S Kraemer Blvd B1, Brea, CA </t>
  </si>
  <si>
    <t>Brea - Scenario</t>
  </si>
  <si>
    <t>https://www.scenarioescaperoom.com/</t>
  </si>
  <si>
    <t>Top-rated and the first magician/magic-themed and arcade-themed escape room in Orange County! Are you looking for some family fun or teambuilding activities? Book one of our unique games to experience a time like no other! Each game is a 60 minute experience where you and your team will work together to find clues, solve puzzles, and achieve the goal or escape the room. Combine wits with some magic, games, and fun for a great time! To book your game, visit our website and click on "Book Now</t>
  </si>
  <si>
    <t xml:space="preserve">Unlocked Escape Room is a top-rated and the first magician/magic-themed and arcade-themed escape room in Orange County! </t>
  </si>
  <si>
    <t xml:space="preserve">1111 Baker St, Costa Mesa, CA </t>
  </si>
  <si>
    <t>Costa - Unlocked</t>
  </si>
  <si>
    <t>https://unlockedoc.com/</t>
  </si>
  <si>
    <t>At Escape VR, the experience of a traditional escape room game is blended with virtual reality. Here, players aren't simply locked in a small room and tasked with finding their way out—instead, they are transported to expansive other worlds, in which they must defeat some great foe or escape from a powerful trap before the time runs out on the clock.</t>
  </si>
  <si>
    <t>At Escape VR, the experience of a traditional escape room game is blended with virtual reality. Here, players are transported to expansive other worlds.</t>
  </si>
  <si>
    <t xml:space="preserve">1025 Westminster Mall Ste. 2023, Westminster, CA </t>
  </si>
  <si>
    <t>Westminster - Escape</t>
  </si>
  <si>
    <t>https://voltzvr.com/</t>
  </si>
  <si>
    <t xml:space="preserve">Fire Loop VR specializes in multiplayer/group-based virtual reality experiences. Headsets at home, as great as they are, have one big limitation, you can’t have friends over and have everyone play together. We hope to remedy that with unique one of a kind adventures where you’re not just putting on the goggles and seeing the world, you will also FEEL the world around you. Thanks to our haptic and tactile feedback you will experience full immersion at affordable prices. Enjoy playing cooperative games with friends where you’ll work as a team to fight off hordes of zombies, robots, or challenge puzzles together. If you’re feeling competitive you can also challenge your friends in combative games where you can shoot them, and they’ll feel it. </t>
  </si>
  <si>
    <t>Fire Loop VR specializes in multiplayer/group-based virtual reality experiences. Our tactile feedback you will experience full immersion at affordable prices.</t>
  </si>
  <si>
    <t>2710 Alton Pwky #111, Irvine, CA</t>
  </si>
  <si>
    <t>Irvine - Fire</t>
  </si>
  <si>
    <t>https://fireloopvr.com/</t>
  </si>
  <si>
    <t>Exit Games escape room is an Immersive Escape Game.</t>
  </si>
  <si>
    <t xml:space="preserve">2975 E White Star Ave, Anaheim, CA </t>
  </si>
  <si>
    <t>Anaheim - Exit</t>
  </si>
  <si>
    <t>https://www.theexitgame.com/</t>
  </si>
  <si>
    <t>Nerdy By Natures some of Orange County's most immersive escape games. Offering both beginners and experts a challenging, but fun escape game experience.</t>
  </si>
  <si>
    <t xml:space="preserve">24002 Via Fabricante Suite 206, Mission Viejo, CA </t>
  </si>
  <si>
    <t>Mission - Nerdy</t>
  </si>
  <si>
    <t>https://www.nbnescaperooms.com/</t>
  </si>
  <si>
    <t>https://www.legacyescaperooms.com/</t>
  </si>
  <si>
    <t xml:space="preserve">1525 Mesa Verde Dr E Suite 212, Costa Mesa, CA </t>
  </si>
  <si>
    <t>Costa - Legacy</t>
  </si>
  <si>
    <t>Legacy Escape Rooms is designed and created by escape room enthusiasts for enthusiasts and new escape room players to enjoy! Our escape games: Cabin 13, Sugar Rush, and Georgie are highly immersive. Our nonlinear game requires everyone to communicate, collaborate, and think critically on the fly and out of the box! We're great for celebrating a birthday, anniversary, bachelor/bachelorette celebration, or team building event!</t>
  </si>
  <si>
    <t xml:space="preserve">Legacy Escape Rooms is designed and created by escape room enthusiasts for enthusiasts and new escape room players to enjoy! </t>
  </si>
  <si>
    <t xml:space="preserve">26469 Rancho Pkwy S, Lake Forest, CA </t>
  </si>
  <si>
    <t>Ready for an experience like no other? No boring puzzles here! Kryptic Tales Escape Rooms create all of our puzzles with one thing in mind: FUN. No more math problems, no more Sudoku! There will be laughter, there will be screams, but most importantly, there will be fun! Come on over and book an experience you will never forget!</t>
  </si>
  <si>
    <t xml:space="preserve">Kryptic Tales Escape Rooms create all of our puzzles with one thing in mind: FUN. No more math problems, no more Sudoku! </t>
  </si>
  <si>
    <t xml:space="preserve">10221 Slater Ave Suite #118, Fountain Valley, CA </t>
  </si>
  <si>
    <t>Fountain - Kryptic</t>
  </si>
  <si>
    <t>https://kryptictales.com/</t>
  </si>
  <si>
    <t xml:space="preserve">6731 Westminster Blvd Suite 105, Westminster, CA </t>
  </si>
  <si>
    <t>King's Eye is an escape room in Westminster, CA.</t>
  </si>
  <si>
    <t>Westminster - Kings</t>
  </si>
  <si>
    <t>https://www.kingseyeescape.com/</t>
  </si>
  <si>
    <t>https://www.entangled.games/</t>
  </si>
  <si>
    <t xml:space="preserve">1095 N Main St Suite B, Orange, CA </t>
  </si>
  <si>
    <t>Entangled is an escape room in Orange, CA.</t>
  </si>
  <si>
    <t>Orange - Entangled</t>
  </si>
  <si>
    <t>Escape Room 66 - Imagine a room full of secrets and mysteries, where every clue could be the key to your freedom. In Prison Break: Trapped in Time, you and your team have 60 minutes to work together to solve puzzles, crack codes, and uncover hidden objects to escape before time runs out. Experience an immersive experience like no other as you race against the clock to solve the final puzzle and unlock the door to your escape. Great for a rainy day, team building events, birthday parties, vacation excursions, date nights, and a fun friends and family adventure.</t>
  </si>
  <si>
    <t xml:space="preserve">Escape Room 66 is an experience an immersive experience like no other as you race against the clock to solve the final puzzle &amp; unlock the door to your escape. </t>
  </si>
  <si>
    <t xml:space="preserve">2851 McGaw Avenue Suite B, Irvine, CA </t>
  </si>
  <si>
    <t>Irvine - Escape</t>
  </si>
  <si>
    <t>https://escaperoom66.com/</t>
  </si>
  <si>
    <t>Formally the Scene escape rooms, different name - same great games! By reservation only. Advanced reservations are not required but walk-ins can not be accommodated. If less than 2 hours, please call our office for availability. Owned by two lifelong gamers and friends and conceptualized over a bowl of Hungarian goulash in Budapest, GTFO Games is the go to for many Southern Californians for birthday parties, corporate team building events, and more! GTFO Games owns and operates Breach Escape Games and also The Escape Bus, Orange County's only mobile escape game room</t>
  </si>
  <si>
    <t xml:space="preserve">Formally the Scene escape rooms, (now called the Breach Escape Room) different name - same great games! By reservation only. </t>
  </si>
  <si>
    <t xml:space="preserve">22661 Lambert St Suite 203, Lake Forest, CA </t>
  </si>
  <si>
    <t>Lake - Breach</t>
  </si>
  <si>
    <t>https://www.breachescapegames.com/</t>
  </si>
  <si>
    <t>https://www.deceptivegames.com/</t>
  </si>
  <si>
    <t>Lake - Deceptive</t>
  </si>
  <si>
    <t>Deceptive Games is an escape room in Lake Forest, CA.</t>
  </si>
  <si>
    <t>https://escapementrooms.com/</t>
  </si>
  <si>
    <t>Tustin - Escapement</t>
  </si>
  <si>
    <t xml:space="preserve">13031 Newport Ave, Tustin, CA </t>
  </si>
  <si>
    <t>Escapement is an escape room in Tustin, CA.</t>
  </si>
  <si>
    <t>Geocaching is an outdoor recreational activity, in which participants use a Global Positioning System receiver or mobile device and other navigational techniques to hide and seek containers, called geocaches or caches, at specific locations marked by coordinates all over the world.</t>
  </si>
  <si>
    <t xml:space="preserve">You can download a geocaching app where you get navigational techniques to hide and seek containers, called geocaches or caches, at specific locations. </t>
  </si>
  <si>
    <t>Geo</t>
  </si>
  <si>
    <t>https://apps.apple.com/us/app/geocaching/id329541503</t>
  </si>
  <si>
    <t>Huntington Beach, CA</t>
  </si>
  <si>
    <t>Lake Forest - Deceptive Games Escape Room</t>
  </si>
  <si>
    <t>Orange - Entangled Escape Room</t>
  </si>
  <si>
    <t>Fullerton - Escapade Games Escape Room</t>
  </si>
  <si>
    <t>Irvine - Escape Room 66</t>
  </si>
  <si>
    <t>Anaheim - Escape Room Era</t>
  </si>
  <si>
    <t>Westminster - Escape VR</t>
  </si>
  <si>
    <t>Tustin - Escapement Escape Rooms</t>
  </si>
  <si>
    <t>Irvine - EscapeX Escape Room</t>
  </si>
  <si>
    <t>Anaheim - Exit Games Escape Room</t>
  </si>
  <si>
    <t>Anaheim - Exodus Escape Room</t>
  </si>
  <si>
    <t>Irvine - Hidden Donkey Escape Room</t>
  </si>
  <si>
    <t>Westiminster - King's Eye Escape Room</t>
  </si>
  <si>
    <t>Fountain Valley - Kryptic Tales Escape Room</t>
  </si>
  <si>
    <t>Costa Mesa - Legacy Escape Room</t>
  </si>
  <si>
    <t>Mission Viejo - Nerdy by Nature Escape Room</t>
  </si>
  <si>
    <t>Irvine - No. 1 Escapes Escape Room</t>
  </si>
  <si>
    <t>Brea - Scenario Escape Room</t>
  </si>
  <si>
    <t>Costa Mesa - Unlocked Escape Room</t>
  </si>
  <si>
    <t>Fullerton - Wild Goose Escape Room</t>
  </si>
  <si>
    <t>Anaheim - Outdoor Scavenger Hunt</t>
  </si>
  <si>
    <t>Garden Grove - Outdoor Scavenger Hunt</t>
  </si>
  <si>
    <t>Huntington Beach - Outdoor Scavenger Hunt</t>
  </si>
  <si>
    <t>Laguna Beach - Outdoor Scavenger Hunt</t>
  </si>
  <si>
    <t>Mission Viejo - Outdoor Scavenger Hunt</t>
  </si>
  <si>
    <t>Newport Beach - Outdoor Scavenger Hunt</t>
  </si>
  <si>
    <t>San Clemente - Outdoor Scavenger Hunt</t>
  </si>
  <si>
    <t>Santa Ana - Outdoor Scavenger Hunt</t>
  </si>
  <si>
    <t>In Zombie Scavengers of Anaheim, Costa Mesa, Fullerton, Garden Grove, Huntington Beach, Irvine, Long Beach, Orange and Santa Ana, players will use an app to try to survive a zombie apocalypse. You'll do so by finding survival objects around the city, in any order you'd like, to get points and do fun zombie themed challenges for points as well. Use strategy to try and find as many items as possible in order to survive. Your survival team will be able to see the score on the app's rankings compared to teams across the country. You'll have a remote host via chat in case you need anything. Let's survive in Garden Grove today!</t>
  </si>
  <si>
    <t>Puzzling Adventures are a cross between a scavenger hunt, in Anaheim, San Clemente And Long Beach, an amazing race, and a self-guided walking tour. Enjoy this unique outdoor activity and experience sightseeing in a fun new way. Each city route consists of a series of locations that you are guided to where you answer questions or solve puzzles to receive your next instruction. All you need is your own mobile device with a data connection.</t>
  </si>
  <si>
    <t>Long Beach - Outdoor Scavenger Hunts</t>
  </si>
  <si>
    <t>Designed to be fun and challenging for adults, in Dana Point, Huntington Beach, Laguna Beach, Newport Beach and San Clemente. This is an incredibly fun and unique competition where you'll find out if your detective skills are sharp enough to solve a murder... Each team is given a list of suspects along with a packet of tricky clues, twisted riddles and mind-bending puzzles. Our clues will systematically lead you to explore Downtown Laguna Beach, San Clemente,  Newport Beach or Dana Point. Using your wits and some creativity, each location will reveal another piece of your investigation, and you'll eliminate suspects until you've discovered... Whodunnit?</t>
  </si>
  <si>
    <t>Dana Point - Outdoor Scavenger Hunt</t>
  </si>
  <si>
    <t>Geocaching Outdoor Scavenger Hunt App</t>
  </si>
  <si>
    <t>Dana Point, CA</t>
  </si>
  <si>
    <t>Long Beach, CA</t>
  </si>
  <si>
    <t>Mission Viejo, CA</t>
  </si>
  <si>
    <t>Irvine - Brainy Actz Escape Room</t>
  </si>
  <si>
    <t>Lake Forest - Breach Escape Room</t>
  </si>
  <si>
    <t>Los Alamitos - Cinema Escape Room</t>
  </si>
  <si>
    <t>Anaheim - Cross Roads Escape Room</t>
  </si>
  <si>
    <t>Irvine - Outdoor Scavenger Hunt</t>
  </si>
  <si>
    <t>Irvine - Fire Loop VR Escape Room</t>
  </si>
  <si>
    <t>Anaheim - Escape</t>
  </si>
  <si>
    <t>Anaheim - Outdoor</t>
  </si>
  <si>
    <t>Dana - Outdoor</t>
  </si>
  <si>
    <t>Garden - Outdoor</t>
  </si>
  <si>
    <t>Huntington - Outdoor 1</t>
  </si>
  <si>
    <t>Huntington - Outdoor 2</t>
  </si>
  <si>
    <t>Irvine - Outdoor</t>
  </si>
  <si>
    <t>Irvine - The</t>
  </si>
  <si>
    <t>Laguna - Outdoor</t>
  </si>
  <si>
    <t>Long - Outdoor</t>
  </si>
  <si>
    <t>Mission - Outdoor</t>
  </si>
  <si>
    <t>Newport - Outdoor</t>
  </si>
  <si>
    <t>San - Outdoor</t>
  </si>
  <si>
    <t>Santa Ana - Outdoor</t>
  </si>
  <si>
    <t>https://www.downtowndetectives.com/</t>
  </si>
  <si>
    <t>Group, date 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</si>
</sst>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9"/>
      <color rgb="FF000000"/>
      <name val="Open_sansregular"/>
    </font>
    <font>
      <sz val="9"/>
      <name val="Open_sansregular"/>
    </font>
    <font>
      <sz val="8"/>
      <color rgb="FF000000"/>
      <name val="Aptos Narrow"/>
      <family val="2"/>
      <scheme val="minor"/>
    </font>
    <font>
      <sz val="8"/>
      <color rgb="FF000000"/>
      <name val="Times New Roman"/>
      <family val="1"/>
    </font>
    <font>
      <sz val="8"/>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3" borderId="1" xfId="0" applyFont="1" applyFill="1" applyBorder="1" applyAlignment="1">
      <alignment horizontal="center"/>
    </xf>
    <xf numFmtId="0" fontId="2" fillId="2" borderId="1" xfId="0" applyFont="1" applyFill="1" applyBorder="1"/>
    <xf numFmtId="0" fontId="2" fillId="2" borderId="1" xfId="0" applyFont="1" applyFill="1" applyBorder="1" applyAlignment="1">
      <alignment wrapText="1"/>
    </xf>
    <xf numFmtId="0" fontId="1" fillId="3" borderId="1" xfId="0" applyFont="1" applyFill="1" applyBorder="1" applyAlignment="1">
      <alignment horizontal="center" wrapText="1"/>
    </xf>
    <xf numFmtId="0" fontId="3" fillId="3" borderId="1" xfId="0" applyFont="1" applyFill="1" applyBorder="1" applyAlignment="1">
      <alignment horizontal="center" wrapText="1"/>
    </xf>
    <xf numFmtId="0" fontId="2" fillId="2" borderId="1" xfId="0" applyFont="1" applyFill="1" applyBorder="1" applyAlignment="1">
      <alignment horizontal="left"/>
    </xf>
    <xf numFmtId="0" fontId="0" fillId="4" borderId="0" xfId="0" applyFill="1"/>
    <xf numFmtId="0" fontId="1" fillId="4" borderId="1" xfId="0" applyFont="1" applyFill="1" applyBorder="1" applyAlignment="1">
      <alignment horizontal="center"/>
    </xf>
    <xf numFmtId="0" fontId="0" fillId="2" borderId="0" xfId="0" applyFill="1"/>
    <xf numFmtId="0" fontId="5" fillId="2" borderId="1" xfId="0" applyFont="1" applyFill="1" applyBorder="1" applyAlignment="1">
      <alignment wrapText="1"/>
    </xf>
    <xf numFmtId="14" fontId="2" fillId="2" borderId="1" xfId="0" applyNumberFormat="1" applyFont="1" applyFill="1" applyBorder="1"/>
    <xf numFmtId="0" fontId="4" fillId="2" borderId="1" xfId="0" applyFont="1" applyFill="1" applyBorder="1"/>
    <xf numFmtId="0" fontId="8" fillId="2" borderId="1" xfId="0" applyFont="1" applyFill="1" applyBorder="1" applyAlignment="1">
      <alignment vertical="center" wrapText="1"/>
    </xf>
    <xf numFmtId="0" fontId="4" fillId="2" borderId="1" xfId="0" applyFont="1" applyFill="1" applyBorder="1" applyAlignment="1">
      <alignment wrapText="1"/>
    </xf>
    <xf numFmtId="0" fontId="7" fillId="2" borderId="1" xfId="0" applyFont="1" applyFill="1" applyBorder="1" applyAlignment="1">
      <alignment vertical="center" wrapText="1"/>
    </xf>
    <xf numFmtId="0" fontId="6"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54"/>
  <sheetViews>
    <sheetView tabSelected="1" zoomScale="80" zoomScaleNormal="80" workbookViewId="0">
      <pane ySplit="1" topLeftCell="A2" activePane="bottomLeft" state="frozen"/>
      <selection pane="bottomLeft" activeCell="O4" sqref="O4"/>
    </sheetView>
  </sheetViews>
  <sheetFormatPr defaultRowHeight="14.5"/>
  <cols>
    <col min="1" max="1" width="40.6328125" customWidth="1"/>
    <col min="2" max="2" width="30.6328125" customWidth="1"/>
    <col min="3" max="3" width="37.81640625" customWidth="1"/>
    <col min="4" max="4" width="31" customWidth="1"/>
    <col min="5" max="5" width="6.7265625" customWidth="1"/>
    <col min="6" max="6" width="23.90625" customWidth="1"/>
    <col min="7" max="7" width="11.90625" customWidth="1"/>
    <col min="8" max="8" width="38.453125" customWidth="1"/>
    <col min="9" max="9" width="26" customWidth="1"/>
    <col min="10" max="10" width="40.6328125" customWidth="1"/>
    <col min="11" max="11" width="11.81640625" style="7" customWidth="1"/>
    <col min="12" max="12" width="11.26953125" style="7" customWidth="1"/>
    <col min="13" max="13" width="23" customWidth="1"/>
    <col min="14" max="14" width="19.26953125" customWidth="1"/>
    <col min="15" max="15" width="25.6328125" customWidth="1"/>
    <col min="16" max="16" width="22.453125" customWidth="1"/>
    <col min="17" max="17" width="19.81640625" customWidth="1"/>
    <col min="18" max="18" width="22.1796875" customWidth="1"/>
  </cols>
  <sheetData>
    <row r="1" spans="1:17" ht="34">
      <c r="A1" s="1" t="s">
        <v>0</v>
      </c>
      <c r="B1" s="1" t="s">
        <v>11</v>
      </c>
      <c r="C1" s="1" t="s">
        <v>12</v>
      </c>
      <c r="D1" s="4" t="s">
        <v>13</v>
      </c>
      <c r="E1" s="5" t="s">
        <v>14</v>
      </c>
      <c r="F1" s="1" t="s">
        <v>1</v>
      </c>
      <c r="G1" s="1" t="s">
        <v>2</v>
      </c>
      <c r="H1" s="1" t="s">
        <v>3</v>
      </c>
      <c r="I1" s="4" t="s">
        <v>10</v>
      </c>
      <c r="J1" s="1" t="s">
        <v>4</v>
      </c>
      <c r="K1" s="8" t="s">
        <v>5</v>
      </c>
      <c r="L1" s="8" t="s">
        <v>6</v>
      </c>
      <c r="M1" s="1" t="s">
        <v>7</v>
      </c>
      <c r="N1" s="1" t="s">
        <v>8</v>
      </c>
      <c r="O1" s="1" t="s">
        <v>9</v>
      </c>
      <c r="P1" s="4" t="s">
        <v>15</v>
      </c>
      <c r="Q1" s="1" t="s">
        <v>8</v>
      </c>
    </row>
    <row r="2" spans="1:17" s="9" customFormat="1" ht="84">
      <c r="A2" s="3" t="s">
        <v>101</v>
      </c>
      <c r="B2" s="3" t="s">
        <v>278</v>
      </c>
      <c r="C2" s="13" t="s">
        <v>132</v>
      </c>
      <c r="D2" s="13" t="s">
        <v>133</v>
      </c>
      <c r="E2" s="3">
        <f>LEN(D2)</f>
        <v>137</v>
      </c>
      <c r="F2" s="2" t="s">
        <v>96</v>
      </c>
      <c r="G2" s="6">
        <v>92807</v>
      </c>
      <c r="H2" s="14" t="s">
        <v>135</v>
      </c>
      <c r="I2" s="2" t="s">
        <v>134</v>
      </c>
      <c r="J2" s="3" t="s">
        <v>136</v>
      </c>
      <c r="K2" s="11">
        <v>45292</v>
      </c>
      <c r="L2" s="11">
        <v>410534</v>
      </c>
      <c r="M2" s="3" t="s">
        <v>296</v>
      </c>
      <c r="N2" s="3" t="s">
        <v>26</v>
      </c>
      <c r="O2" s="2" t="str">
        <f>I2</f>
        <v>Anaheim - Cross</v>
      </c>
      <c r="P2" s="2" t="s">
        <v>27</v>
      </c>
      <c r="Q2" s="2" t="str">
        <f>N2</f>
        <v>Scavenger</v>
      </c>
    </row>
    <row r="3" spans="1:17" s="9" customFormat="1" ht="107.5" customHeight="1">
      <c r="A3" s="3" t="s">
        <v>99</v>
      </c>
      <c r="B3" s="3" t="s">
        <v>243</v>
      </c>
      <c r="C3" s="13" t="s">
        <v>125</v>
      </c>
      <c r="D3" s="13" t="s">
        <v>126</v>
      </c>
      <c r="E3" s="3">
        <f>LEN(D3)</f>
        <v>84</v>
      </c>
      <c r="F3" s="2" t="s">
        <v>96</v>
      </c>
      <c r="G3" s="6">
        <v>92806</v>
      </c>
      <c r="H3" s="14" t="s">
        <v>124</v>
      </c>
      <c r="I3" s="2" t="s">
        <v>281</v>
      </c>
      <c r="J3" s="3" t="s">
        <v>123</v>
      </c>
      <c r="K3" s="11">
        <v>45292</v>
      </c>
      <c r="L3" s="11">
        <v>410534</v>
      </c>
      <c r="M3" s="3" t="s">
        <v>296</v>
      </c>
      <c r="N3" s="3" t="s">
        <v>26</v>
      </c>
      <c r="O3" s="2" t="str">
        <f>I3</f>
        <v>Anaheim - Escape</v>
      </c>
      <c r="P3" s="2" t="s">
        <v>27</v>
      </c>
      <c r="Q3" s="2" t="str">
        <f>N3</f>
        <v>Scavenger</v>
      </c>
    </row>
    <row r="4" spans="1:17" s="9" customFormat="1" ht="139.5" customHeight="1">
      <c r="A4" s="3" t="s">
        <v>113</v>
      </c>
      <c r="B4" s="3" t="s">
        <v>247</v>
      </c>
      <c r="C4" s="13" t="s">
        <v>190</v>
      </c>
      <c r="D4" s="13" t="s">
        <v>190</v>
      </c>
      <c r="E4" s="3">
        <f>LEN(D4)</f>
        <v>51</v>
      </c>
      <c r="F4" s="2" t="s">
        <v>96</v>
      </c>
      <c r="G4" s="6">
        <v>92806</v>
      </c>
      <c r="H4" s="14" t="s">
        <v>191</v>
      </c>
      <c r="I4" s="2" t="s">
        <v>192</v>
      </c>
      <c r="J4" s="3" t="s">
        <v>193</v>
      </c>
      <c r="K4" s="11">
        <v>45292</v>
      </c>
      <c r="L4" s="11">
        <v>410534</v>
      </c>
      <c r="M4" s="3" t="s">
        <v>296</v>
      </c>
      <c r="N4" s="3" t="s">
        <v>26</v>
      </c>
      <c r="O4" s="2" t="str">
        <f>I4</f>
        <v>Anaheim - Exit</v>
      </c>
      <c r="P4" s="2" t="s">
        <v>27</v>
      </c>
      <c r="Q4" s="2" t="str">
        <f>N4</f>
        <v>Scavenger</v>
      </c>
    </row>
    <row r="5" spans="1:17" s="9" customFormat="1" ht="73.5">
      <c r="A5" s="3" t="s">
        <v>102</v>
      </c>
      <c r="B5" s="3" t="s">
        <v>248</v>
      </c>
      <c r="C5" s="13" t="s">
        <v>137</v>
      </c>
      <c r="D5" s="13" t="s">
        <v>138</v>
      </c>
      <c r="E5" s="3">
        <f>LEN(D5)</f>
        <v>148</v>
      </c>
      <c r="F5" s="2" t="s">
        <v>96</v>
      </c>
      <c r="G5" s="6">
        <v>92807</v>
      </c>
      <c r="H5" s="14" t="s">
        <v>139</v>
      </c>
      <c r="I5" s="2" t="s">
        <v>140</v>
      </c>
      <c r="J5" s="3" t="s">
        <v>141</v>
      </c>
      <c r="K5" s="11">
        <v>45292</v>
      </c>
      <c r="L5" s="11">
        <v>410534</v>
      </c>
      <c r="M5" s="3" t="s">
        <v>296</v>
      </c>
      <c r="N5" s="3" t="s">
        <v>26</v>
      </c>
      <c r="O5" s="2" t="str">
        <f>I5</f>
        <v>Anaheim - Exodus</v>
      </c>
      <c r="P5" s="2" t="s">
        <v>27</v>
      </c>
      <c r="Q5" s="2" t="str">
        <f>N5</f>
        <v>Scavenger</v>
      </c>
    </row>
    <row r="6" spans="1:17" s="9" customFormat="1" ht="128" customHeight="1">
      <c r="A6" s="3" t="s">
        <v>84</v>
      </c>
      <c r="B6" s="3" t="s">
        <v>88</v>
      </c>
      <c r="C6" s="15" t="s">
        <v>85</v>
      </c>
      <c r="D6" s="15" t="s">
        <v>83</v>
      </c>
      <c r="E6" s="3">
        <f>LEN(D6)</f>
        <v>132</v>
      </c>
      <c r="F6" s="2" t="s">
        <v>96</v>
      </c>
      <c r="G6" s="6">
        <v>92802</v>
      </c>
      <c r="H6" s="12" t="s">
        <v>81</v>
      </c>
      <c r="I6" s="2" t="s">
        <v>91</v>
      </c>
      <c r="J6" s="3" t="s">
        <v>82</v>
      </c>
      <c r="K6" s="11">
        <v>45292</v>
      </c>
      <c r="L6" s="11">
        <v>410534</v>
      </c>
      <c r="M6" s="3" t="s">
        <v>296</v>
      </c>
      <c r="N6" s="3" t="s">
        <v>26</v>
      </c>
      <c r="O6" s="2" t="str">
        <f>I6</f>
        <v>Anaheim - Mission</v>
      </c>
      <c r="P6" s="2" t="s">
        <v>27</v>
      </c>
      <c r="Q6" s="2" t="str">
        <f>N6</f>
        <v>Scavenger</v>
      </c>
    </row>
    <row r="7" spans="1:17" s="9" customFormat="1" ht="93.5">
      <c r="A7" s="3" t="s">
        <v>60</v>
      </c>
      <c r="B7" s="3" t="s">
        <v>258</v>
      </c>
      <c r="C7" s="10" t="s">
        <v>62</v>
      </c>
      <c r="D7" s="10" t="s">
        <v>63</v>
      </c>
      <c r="E7" s="3">
        <f>LEN(D7)</f>
        <v>143</v>
      </c>
      <c r="F7" s="2" t="s">
        <v>26</v>
      </c>
      <c r="G7" s="6">
        <v>92808</v>
      </c>
      <c r="H7" s="14" t="s">
        <v>61</v>
      </c>
      <c r="I7" s="2" t="s">
        <v>282</v>
      </c>
      <c r="J7" s="3" t="s">
        <v>59</v>
      </c>
      <c r="K7" s="11">
        <v>45292</v>
      </c>
      <c r="L7" s="11">
        <v>410534</v>
      </c>
      <c r="M7" s="3" t="s">
        <v>296</v>
      </c>
      <c r="N7" s="3" t="s">
        <v>26</v>
      </c>
      <c r="O7" s="2" t="str">
        <f>I7</f>
        <v>Anaheim - Outdoor</v>
      </c>
      <c r="P7" s="2" t="s">
        <v>27</v>
      </c>
      <c r="Q7" s="2" t="str">
        <f>N7</f>
        <v>Scavenger</v>
      </c>
    </row>
    <row r="8" spans="1:17" s="9" customFormat="1" ht="100.5" customHeight="1">
      <c r="A8" s="3" t="s">
        <v>23</v>
      </c>
      <c r="B8" s="3" t="s">
        <v>86</v>
      </c>
      <c r="C8" s="16" t="s">
        <v>74</v>
      </c>
      <c r="D8" s="16" t="s">
        <v>75</v>
      </c>
      <c r="E8" s="3">
        <f>LEN(D8)</f>
        <v>121</v>
      </c>
      <c r="F8" s="2" t="s">
        <v>96</v>
      </c>
      <c r="G8" s="6">
        <v>92821</v>
      </c>
      <c r="H8" s="14" t="s">
        <v>73</v>
      </c>
      <c r="I8" s="2" t="s">
        <v>89</v>
      </c>
      <c r="J8" s="3" t="s">
        <v>72</v>
      </c>
      <c r="K8" s="11">
        <v>45292</v>
      </c>
      <c r="L8" s="11">
        <v>410534</v>
      </c>
      <c r="M8" s="3" t="s">
        <v>296</v>
      </c>
      <c r="N8" s="3" t="s">
        <v>26</v>
      </c>
      <c r="O8" s="2" t="str">
        <f>I8</f>
        <v>Brea - Red</v>
      </c>
      <c r="P8" s="2" t="s">
        <v>27</v>
      </c>
      <c r="Q8" s="2" t="str">
        <f>N8</f>
        <v>Scavenger</v>
      </c>
    </row>
    <row r="9" spans="1:17" s="9" customFormat="1" ht="77.5" customHeight="1">
      <c r="A9" s="3" t="s">
        <v>109</v>
      </c>
      <c r="B9" s="3" t="s">
        <v>255</v>
      </c>
      <c r="C9" s="13" t="s">
        <v>170</v>
      </c>
      <c r="D9" s="13" t="s">
        <v>171</v>
      </c>
      <c r="E9" s="3">
        <f>LEN(D9)</f>
        <v>157</v>
      </c>
      <c r="F9" s="2" t="s">
        <v>96</v>
      </c>
      <c r="G9" s="6">
        <v>92821</v>
      </c>
      <c r="H9" s="14" t="s">
        <v>172</v>
      </c>
      <c r="I9" s="2" t="s">
        <v>173</v>
      </c>
      <c r="J9" s="3" t="s">
        <v>174</v>
      </c>
      <c r="K9" s="11">
        <v>45292</v>
      </c>
      <c r="L9" s="11">
        <v>410534</v>
      </c>
      <c r="M9" s="3" t="s">
        <v>296</v>
      </c>
      <c r="N9" s="3" t="s">
        <v>26</v>
      </c>
      <c r="O9" s="2" t="str">
        <f>I9</f>
        <v>Brea - Scenario</v>
      </c>
      <c r="P9" s="2" t="s">
        <v>27</v>
      </c>
      <c r="Q9" s="2" t="str">
        <f>N9</f>
        <v>Scavenger</v>
      </c>
    </row>
    <row r="10" spans="1:17" s="9" customFormat="1" ht="149" customHeight="1">
      <c r="A10" s="3" t="s">
        <v>115</v>
      </c>
      <c r="B10" s="3" t="s">
        <v>252</v>
      </c>
      <c r="C10" s="13" t="s">
        <v>201</v>
      </c>
      <c r="D10" s="13" t="s">
        <v>202</v>
      </c>
      <c r="E10" s="3">
        <f>LEN(D10)</f>
        <v>125</v>
      </c>
      <c r="F10" s="2" t="s">
        <v>96</v>
      </c>
      <c r="G10" s="6">
        <v>92626</v>
      </c>
      <c r="H10" s="14" t="s">
        <v>199</v>
      </c>
      <c r="I10" s="2" t="s">
        <v>200</v>
      </c>
      <c r="J10" s="3" t="s">
        <v>198</v>
      </c>
      <c r="K10" s="11">
        <v>45292</v>
      </c>
      <c r="L10" s="11">
        <v>410534</v>
      </c>
      <c r="M10" s="3" t="s">
        <v>296</v>
      </c>
      <c r="N10" s="3" t="s">
        <v>26</v>
      </c>
      <c r="O10" s="2" t="str">
        <f>I10</f>
        <v>Costa - Legacy</v>
      </c>
      <c r="P10" s="2" t="s">
        <v>27</v>
      </c>
      <c r="Q10" s="2" t="str">
        <f>N10</f>
        <v>Scavenger</v>
      </c>
    </row>
    <row r="11" spans="1:17" s="9" customFormat="1" ht="137" customHeight="1">
      <c r="A11" s="2" t="s">
        <v>110</v>
      </c>
      <c r="B11" s="3" t="s">
        <v>256</v>
      </c>
      <c r="C11" s="13" t="s">
        <v>175</v>
      </c>
      <c r="D11" s="13" t="s">
        <v>176</v>
      </c>
      <c r="E11" s="3">
        <f>LEN(D11)</f>
        <v>120</v>
      </c>
      <c r="F11" s="2" t="s">
        <v>96</v>
      </c>
      <c r="G11" s="6">
        <v>92626</v>
      </c>
      <c r="H11" s="14" t="s">
        <v>177</v>
      </c>
      <c r="I11" s="2" t="s">
        <v>178</v>
      </c>
      <c r="J11" s="3" t="s">
        <v>179</v>
      </c>
      <c r="K11" s="11">
        <v>45292</v>
      </c>
      <c r="L11" s="11">
        <v>410534</v>
      </c>
      <c r="M11" s="3" t="s">
        <v>296</v>
      </c>
      <c r="N11" s="3" t="s">
        <v>26</v>
      </c>
      <c r="O11" s="2" t="str">
        <f>I11</f>
        <v>Costa - Unlocked</v>
      </c>
      <c r="P11" s="2" t="s">
        <v>27</v>
      </c>
      <c r="Q11" s="2" t="str">
        <f>N11</f>
        <v>Scavenger</v>
      </c>
    </row>
    <row r="12" spans="1:17" s="9" customFormat="1" ht="127.5" customHeight="1">
      <c r="A12" s="3" t="s">
        <v>24</v>
      </c>
      <c r="B12" s="3" t="s">
        <v>270</v>
      </c>
      <c r="C12" s="13" t="s">
        <v>269</v>
      </c>
      <c r="D12" s="13" t="s">
        <v>28</v>
      </c>
      <c r="E12" s="3">
        <f>LEN(D12)</f>
        <v>156</v>
      </c>
      <c r="F12" s="2" t="s">
        <v>26</v>
      </c>
      <c r="G12" s="6"/>
      <c r="H12" s="12" t="s">
        <v>272</v>
      </c>
      <c r="I12" s="2" t="s">
        <v>283</v>
      </c>
      <c r="J12" s="3" t="s">
        <v>25</v>
      </c>
      <c r="K12" s="11">
        <v>45292</v>
      </c>
      <c r="L12" s="11">
        <v>410534</v>
      </c>
      <c r="M12" s="3" t="s">
        <v>296</v>
      </c>
      <c r="N12" s="3" t="s">
        <v>26</v>
      </c>
      <c r="O12" s="2" t="str">
        <f>I12</f>
        <v>Dana - Outdoor</v>
      </c>
      <c r="P12" s="2" t="s">
        <v>27</v>
      </c>
      <c r="Q12" s="2" t="str">
        <f>N12</f>
        <v>Scavenger</v>
      </c>
    </row>
    <row r="13" spans="1:17" s="9" customFormat="1" ht="94" customHeight="1">
      <c r="A13" s="3" t="s">
        <v>116</v>
      </c>
      <c r="B13" s="3" t="s">
        <v>251</v>
      </c>
      <c r="C13" s="13" t="s">
        <v>204</v>
      </c>
      <c r="D13" s="13" t="s">
        <v>205</v>
      </c>
      <c r="E13" s="3">
        <f>LEN(D13)</f>
        <v>121</v>
      </c>
      <c r="F13" s="2" t="s">
        <v>96</v>
      </c>
      <c r="G13" s="6">
        <v>92708</v>
      </c>
      <c r="H13" s="14" t="s">
        <v>206</v>
      </c>
      <c r="I13" s="2" t="s">
        <v>207</v>
      </c>
      <c r="J13" s="3" t="s">
        <v>208</v>
      </c>
      <c r="K13" s="11">
        <v>45292</v>
      </c>
      <c r="L13" s="11">
        <v>410534</v>
      </c>
      <c r="M13" s="3" t="s">
        <v>296</v>
      </c>
      <c r="N13" s="3" t="s">
        <v>26</v>
      </c>
      <c r="O13" s="2" t="str">
        <f>I13</f>
        <v>Fountain - Kryptic</v>
      </c>
      <c r="P13" s="2" t="s">
        <v>27</v>
      </c>
      <c r="Q13" s="2" t="str">
        <f>N13</f>
        <v>Scavenger</v>
      </c>
    </row>
    <row r="14" spans="1:17" s="9" customFormat="1" ht="72.5" customHeight="1">
      <c r="A14" s="3" t="s">
        <v>107</v>
      </c>
      <c r="B14" s="3" t="s">
        <v>241</v>
      </c>
      <c r="C14" s="13" t="s">
        <v>165</v>
      </c>
      <c r="D14" s="13" t="s">
        <v>166</v>
      </c>
      <c r="E14" s="3">
        <f>LEN(D14)</f>
        <v>99</v>
      </c>
      <c r="F14" s="2" t="s">
        <v>96</v>
      </c>
      <c r="G14" s="6">
        <v>92832</v>
      </c>
      <c r="H14" s="14" t="s">
        <v>167</v>
      </c>
      <c r="I14" s="2" t="s">
        <v>168</v>
      </c>
      <c r="J14" s="3" t="s">
        <v>169</v>
      </c>
      <c r="K14" s="11">
        <v>45292</v>
      </c>
      <c r="L14" s="11">
        <v>410534</v>
      </c>
      <c r="M14" s="3" t="s">
        <v>296</v>
      </c>
      <c r="N14" s="3" t="s">
        <v>26</v>
      </c>
      <c r="O14" s="2" t="str">
        <f>I14</f>
        <v>Fullerton - Escapade</v>
      </c>
      <c r="P14" s="2" t="s">
        <v>27</v>
      </c>
      <c r="Q14" s="2" t="str">
        <f>N14</f>
        <v>Scavenger</v>
      </c>
    </row>
    <row r="15" spans="1:17" s="9" customFormat="1" ht="94.5">
      <c r="A15" s="3" t="s">
        <v>104</v>
      </c>
      <c r="B15" s="3" t="s">
        <v>257</v>
      </c>
      <c r="C15" s="13" t="s">
        <v>146</v>
      </c>
      <c r="D15" s="13" t="s">
        <v>147</v>
      </c>
      <c r="E15" s="3">
        <f>LEN(D15)</f>
        <v>136</v>
      </c>
      <c r="F15" s="2" t="s">
        <v>96</v>
      </c>
      <c r="G15" s="6">
        <v>92832</v>
      </c>
      <c r="H15" s="14" t="s">
        <v>148</v>
      </c>
      <c r="I15" s="2" t="s">
        <v>149</v>
      </c>
      <c r="J15" s="3" t="s">
        <v>150</v>
      </c>
      <c r="K15" s="11">
        <v>45292</v>
      </c>
      <c r="L15" s="11">
        <v>410534</v>
      </c>
      <c r="M15" s="3" t="s">
        <v>296</v>
      </c>
      <c r="N15" s="3" t="s">
        <v>26</v>
      </c>
      <c r="O15" s="2" t="str">
        <f>I15</f>
        <v>Fullerton - Wild</v>
      </c>
      <c r="P15" s="2" t="s">
        <v>27</v>
      </c>
      <c r="Q15" s="2" t="str">
        <f>N15</f>
        <v>Scavenger</v>
      </c>
    </row>
    <row r="16" spans="1:17" s="9" customFormat="1" ht="162.5">
      <c r="A16" s="3" t="s">
        <v>18</v>
      </c>
      <c r="B16" s="3" t="s">
        <v>259</v>
      </c>
      <c r="C16" s="10" t="s">
        <v>266</v>
      </c>
      <c r="D16" s="10" t="s">
        <v>50</v>
      </c>
      <c r="E16" s="3">
        <f>LEN(D16)</f>
        <v>141</v>
      </c>
      <c r="F16" s="2" t="s">
        <v>26</v>
      </c>
      <c r="G16" s="6">
        <v>92840</v>
      </c>
      <c r="H16" s="12" t="s">
        <v>49</v>
      </c>
      <c r="I16" s="2" t="s">
        <v>284</v>
      </c>
      <c r="J16" s="3" t="s">
        <v>48</v>
      </c>
      <c r="K16" s="11">
        <v>45292</v>
      </c>
      <c r="L16" s="11">
        <v>410534</v>
      </c>
      <c r="M16" s="3" t="s">
        <v>296</v>
      </c>
      <c r="N16" s="3" t="s">
        <v>26</v>
      </c>
      <c r="O16" s="2" t="str">
        <f>I16</f>
        <v>Garden - Outdoor</v>
      </c>
      <c r="P16" s="2" t="s">
        <v>27</v>
      </c>
      <c r="Q16" s="2" t="str">
        <f>N16</f>
        <v>Scavenger</v>
      </c>
    </row>
    <row r="17" spans="1:17" s="9" customFormat="1" ht="134.5" customHeight="1">
      <c r="A17" s="3" t="s">
        <v>21</v>
      </c>
      <c r="B17" s="3" t="s">
        <v>271</v>
      </c>
      <c r="C17" s="13" t="s">
        <v>234</v>
      </c>
      <c r="D17" s="13" t="s">
        <v>235</v>
      </c>
      <c r="E17" s="3">
        <f>LEN(D17)</f>
        <v>152</v>
      </c>
      <c r="F17" s="2" t="s">
        <v>26</v>
      </c>
      <c r="G17" s="6"/>
      <c r="H17" s="12"/>
      <c r="I17" s="2" t="s">
        <v>236</v>
      </c>
      <c r="J17" s="3" t="s">
        <v>237</v>
      </c>
      <c r="K17" s="11">
        <v>45292</v>
      </c>
      <c r="L17" s="11">
        <v>410534</v>
      </c>
      <c r="M17" s="3" t="s">
        <v>296</v>
      </c>
      <c r="N17" s="3" t="s">
        <v>26</v>
      </c>
      <c r="O17" s="2" t="str">
        <f>I17</f>
        <v>Geo</v>
      </c>
      <c r="P17" s="2" t="s">
        <v>27</v>
      </c>
      <c r="Q17" s="2" t="str">
        <f>N17</f>
        <v>Scavenger</v>
      </c>
    </row>
    <row r="18" spans="1:17" s="9" customFormat="1" ht="116.5">
      <c r="A18" s="3" t="s">
        <v>16</v>
      </c>
      <c r="B18" s="3" t="s">
        <v>260</v>
      </c>
      <c r="C18" s="10" t="s">
        <v>44</v>
      </c>
      <c r="D18" s="10" t="s">
        <v>42</v>
      </c>
      <c r="E18" s="3">
        <f>LEN(D18)</f>
        <v>153</v>
      </c>
      <c r="F18" s="2" t="s">
        <v>26</v>
      </c>
      <c r="G18" s="6">
        <v>92647</v>
      </c>
      <c r="H18" s="14" t="s">
        <v>41</v>
      </c>
      <c r="I18" s="2" t="s">
        <v>285</v>
      </c>
      <c r="J18" s="3" t="s">
        <v>40</v>
      </c>
      <c r="K18" s="11">
        <v>45292</v>
      </c>
      <c r="L18" s="11">
        <v>410534</v>
      </c>
      <c r="M18" s="3" t="s">
        <v>296</v>
      </c>
      <c r="N18" s="3" t="s">
        <v>26</v>
      </c>
      <c r="O18" s="2" t="str">
        <f>I18</f>
        <v>Huntington - Outdoor 1</v>
      </c>
      <c r="P18" s="2" t="s">
        <v>27</v>
      </c>
      <c r="Q18" s="2" t="str">
        <f>N18</f>
        <v>Scavenger</v>
      </c>
    </row>
    <row r="19" spans="1:17" s="9" customFormat="1" ht="107.5" customHeight="1">
      <c r="A19" s="3" t="s">
        <v>35</v>
      </c>
      <c r="B19" s="3" t="s">
        <v>260</v>
      </c>
      <c r="C19" s="13" t="s">
        <v>34</v>
      </c>
      <c r="D19" s="13" t="s">
        <v>36</v>
      </c>
      <c r="E19" s="3">
        <f>LEN(D19)</f>
        <v>136</v>
      </c>
      <c r="F19" s="2" t="s">
        <v>26</v>
      </c>
      <c r="G19" s="6"/>
      <c r="H19" s="12" t="s">
        <v>238</v>
      </c>
      <c r="I19" s="2" t="s">
        <v>286</v>
      </c>
      <c r="J19" s="3" t="s">
        <v>295</v>
      </c>
      <c r="K19" s="11">
        <v>45292</v>
      </c>
      <c r="L19" s="11">
        <v>410534</v>
      </c>
      <c r="M19" s="3" t="s">
        <v>296</v>
      </c>
      <c r="N19" s="3" t="s">
        <v>26</v>
      </c>
      <c r="O19" s="2" t="str">
        <f>I19</f>
        <v>Huntington - Outdoor 2</v>
      </c>
      <c r="P19" s="2" t="s">
        <v>27</v>
      </c>
      <c r="Q19" s="2" t="str">
        <f>N19</f>
        <v>Scavenger</v>
      </c>
    </row>
    <row r="20" spans="1:17" s="9" customFormat="1" ht="106.5" customHeight="1">
      <c r="A20" s="3" t="s">
        <v>100</v>
      </c>
      <c r="B20" s="3" t="s">
        <v>275</v>
      </c>
      <c r="C20" s="13" t="s">
        <v>127</v>
      </c>
      <c r="D20" s="13" t="s">
        <v>128</v>
      </c>
      <c r="E20" s="3">
        <f>LEN(D20)</f>
        <v>149</v>
      </c>
      <c r="F20" s="2" t="s">
        <v>96</v>
      </c>
      <c r="G20" s="6">
        <v>92614</v>
      </c>
      <c r="H20" s="14" t="s">
        <v>129</v>
      </c>
      <c r="I20" s="2" t="s">
        <v>130</v>
      </c>
      <c r="J20" s="3" t="s">
        <v>131</v>
      </c>
      <c r="K20" s="11">
        <v>45292</v>
      </c>
      <c r="L20" s="11">
        <v>410534</v>
      </c>
      <c r="M20" s="3" t="s">
        <v>296</v>
      </c>
      <c r="N20" s="3" t="s">
        <v>26</v>
      </c>
      <c r="O20" s="2" t="str">
        <f>I20</f>
        <v>Irvine - Brainy</v>
      </c>
      <c r="P20" s="2" t="s">
        <v>27</v>
      </c>
      <c r="Q20" s="2" t="str">
        <f>N20</f>
        <v>Scavenger</v>
      </c>
    </row>
    <row r="21" spans="1:17" s="9" customFormat="1" ht="135" customHeight="1">
      <c r="A21" s="3" t="s">
        <v>119</v>
      </c>
      <c r="B21" s="3" t="s">
        <v>242</v>
      </c>
      <c r="C21" s="13" t="s">
        <v>217</v>
      </c>
      <c r="D21" s="13" t="s">
        <v>218</v>
      </c>
      <c r="E21" s="3">
        <f>LEN(D21)</f>
        <v>160</v>
      </c>
      <c r="F21" s="2" t="s">
        <v>96</v>
      </c>
      <c r="G21" s="6">
        <v>92614</v>
      </c>
      <c r="H21" s="14" t="s">
        <v>219</v>
      </c>
      <c r="I21" s="2" t="s">
        <v>220</v>
      </c>
      <c r="J21" s="3" t="s">
        <v>221</v>
      </c>
      <c r="K21" s="11">
        <v>45292</v>
      </c>
      <c r="L21" s="11">
        <v>410534</v>
      </c>
      <c r="M21" s="3" t="s">
        <v>296</v>
      </c>
      <c r="N21" s="3" t="s">
        <v>26</v>
      </c>
      <c r="O21" s="2" t="str">
        <f>I21</f>
        <v>Irvine - Escape</v>
      </c>
      <c r="P21" s="2" t="s">
        <v>27</v>
      </c>
      <c r="Q21" s="2" t="str">
        <f>N21</f>
        <v>Scavenger</v>
      </c>
    </row>
    <row r="22" spans="1:17" s="9" customFormat="1" ht="91.5" customHeight="1">
      <c r="A22" s="3" t="s">
        <v>108</v>
      </c>
      <c r="B22" s="3" t="s">
        <v>246</v>
      </c>
      <c r="C22" s="13" t="s">
        <v>156</v>
      </c>
      <c r="D22" s="13" t="s">
        <v>157</v>
      </c>
      <c r="E22" s="3">
        <f>LEN(D22)</f>
        <v>94</v>
      </c>
      <c r="F22" s="2" t="s">
        <v>96</v>
      </c>
      <c r="G22" s="6">
        <v>92614</v>
      </c>
      <c r="H22" s="14" t="s">
        <v>158</v>
      </c>
      <c r="I22" s="2" t="s">
        <v>159</v>
      </c>
      <c r="J22" s="3" t="s">
        <v>160</v>
      </c>
      <c r="K22" s="11">
        <v>45292</v>
      </c>
      <c r="L22" s="11">
        <v>410534</v>
      </c>
      <c r="M22" s="3" t="s">
        <v>296</v>
      </c>
      <c r="N22" s="3" t="s">
        <v>26</v>
      </c>
      <c r="O22" s="2" t="str">
        <f>I22</f>
        <v>Irvine - Escapex</v>
      </c>
      <c r="P22" s="2" t="s">
        <v>27</v>
      </c>
      <c r="Q22" s="2" t="str">
        <f>N22</f>
        <v>Scavenger</v>
      </c>
    </row>
    <row r="23" spans="1:17" s="9" customFormat="1" ht="46" customHeight="1">
      <c r="A23" s="3" t="s">
        <v>112</v>
      </c>
      <c r="B23" s="3" t="s">
        <v>280</v>
      </c>
      <c r="C23" s="13" t="s">
        <v>185</v>
      </c>
      <c r="D23" s="13" t="s">
        <v>186</v>
      </c>
      <c r="E23" s="3">
        <f>LEN(D23)</f>
        <v>158</v>
      </c>
      <c r="F23" s="2" t="s">
        <v>96</v>
      </c>
      <c r="G23" s="6">
        <v>92606</v>
      </c>
      <c r="H23" s="14" t="s">
        <v>187</v>
      </c>
      <c r="I23" s="2" t="s">
        <v>188</v>
      </c>
      <c r="J23" s="3" t="s">
        <v>189</v>
      </c>
      <c r="K23" s="11">
        <v>45292</v>
      </c>
      <c r="L23" s="11">
        <v>410534</v>
      </c>
      <c r="M23" s="3" t="s">
        <v>296</v>
      </c>
      <c r="N23" s="3" t="s">
        <v>26</v>
      </c>
      <c r="O23" s="2" t="str">
        <f>I23</f>
        <v>Irvine - Fire</v>
      </c>
      <c r="P23" s="2" t="s">
        <v>27</v>
      </c>
      <c r="Q23" s="2" t="str">
        <f>N23</f>
        <v>Scavenger</v>
      </c>
    </row>
    <row r="24" spans="1:17" s="9" customFormat="1" ht="42">
      <c r="A24" s="3" t="s">
        <v>105</v>
      </c>
      <c r="B24" s="3" t="s">
        <v>249</v>
      </c>
      <c r="C24" s="13" t="s">
        <v>151</v>
      </c>
      <c r="D24" s="13" t="s">
        <v>152</v>
      </c>
      <c r="E24" s="3">
        <f>LEN(D24)</f>
        <v>159</v>
      </c>
      <c r="F24" s="2" t="s">
        <v>96</v>
      </c>
      <c r="G24" s="6">
        <v>92614</v>
      </c>
      <c r="H24" s="14" t="s">
        <v>153</v>
      </c>
      <c r="I24" s="2" t="s">
        <v>154</v>
      </c>
      <c r="J24" s="3" t="s">
        <v>155</v>
      </c>
      <c r="K24" s="11">
        <v>45292</v>
      </c>
      <c r="L24" s="11">
        <v>410534</v>
      </c>
      <c r="M24" s="3" t="s">
        <v>296</v>
      </c>
      <c r="N24" s="3" t="s">
        <v>26</v>
      </c>
      <c r="O24" s="2" t="str">
        <f>I24</f>
        <v>Irvine - Hidden</v>
      </c>
      <c r="P24" s="2" t="s">
        <v>27</v>
      </c>
      <c r="Q24" s="2" t="str">
        <f>N24</f>
        <v>Scavenger</v>
      </c>
    </row>
    <row r="25" spans="1:17" s="9" customFormat="1" ht="34">
      <c r="A25" s="3" t="s">
        <v>106</v>
      </c>
      <c r="B25" s="3" t="s">
        <v>254</v>
      </c>
      <c r="C25" s="13" t="s">
        <v>161</v>
      </c>
      <c r="D25" s="13" t="s">
        <v>161</v>
      </c>
      <c r="E25" s="3">
        <f>LEN(D25)</f>
        <v>75</v>
      </c>
      <c r="F25" s="2" t="s">
        <v>96</v>
      </c>
      <c r="G25" s="6">
        <v>92614</v>
      </c>
      <c r="H25" s="14" t="s">
        <v>162</v>
      </c>
      <c r="I25" s="2" t="s">
        <v>163</v>
      </c>
      <c r="J25" s="3" t="s">
        <v>164</v>
      </c>
      <c r="K25" s="11">
        <v>45292</v>
      </c>
      <c r="L25" s="11">
        <v>410534</v>
      </c>
      <c r="M25" s="3" t="s">
        <v>296</v>
      </c>
      <c r="N25" s="3" t="s">
        <v>26</v>
      </c>
      <c r="O25" s="2" t="str">
        <f>I25</f>
        <v>Irvine - No</v>
      </c>
      <c r="P25" s="2" t="s">
        <v>27</v>
      </c>
      <c r="Q25" s="2" t="str">
        <f>N25</f>
        <v>Scavenger</v>
      </c>
    </row>
    <row r="26" spans="1:17" s="9" customFormat="1" ht="73.5">
      <c r="A26" s="3" t="s">
        <v>30</v>
      </c>
      <c r="B26" s="3" t="s">
        <v>279</v>
      </c>
      <c r="C26" s="13" t="s">
        <v>31</v>
      </c>
      <c r="D26" s="13" t="s">
        <v>32</v>
      </c>
      <c r="E26" s="3">
        <f>LEN(D26)</f>
        <v>127</v>
      </c>
      <c r="F26" s="2" t="s">
        <v>26</v>
      </c>
      <c r="G26" s="6">
        <v>92869</v>
      </c>
      <c r="H26" s="12" t="s">
        <v>33</v>
      </c>
      <c r="I26" s="2" t="s">
        <v>287</v>
      </c>
      <c r="J26" s="3" t="s">
        <v>29</v>
      </c>
      <c r="K26" s="11">
        <v>45292</v>
      </c>
      <c r="L26" s="11">
        <v>410534</v>
      </c>
      <c r="M26" s="3" t="s">
        <v>296</v>
      </c>
      <c r="N26" s="3" t="s">
        <v>26</v>
      </c>
      <c r="O26" s="2" t="str">
        <f>I26</f>
        <v>Irvine - Outdoor</v>
      </c>
      <c r="P26" s="2" t="s">
        <v>27</v>
      </c>
      <c r="Q26" s="2" t="str">
        <f>N26</f>
        <v>Scavenger</v>
      </c>
    </row>
    <row r="27" spans="1:17" s="9" customFormat="1" ht="63">
      <c r="A27" s="3" t="s">
        <v>92</v>
      </c>
      <c r="B27" s="3" t="s">
        <v>93</v>
      </c>
      <c r="C27" s="13" t="s">
        <v>97</v>
      </c>
      <c r="D27" s="13" t="s">
        <v>98</v>
      </c>
      <c r="E27" s="3">
        <f>LEN(D27)</f>
        <v>156</v>
      </c>
      <c r="F27" s="2" t="s">
        <v>96</v>
      </c>
      <c r="G27" s="6">
        <v>92618</v>
      </c>
      <c r="H27" s="12" t="s">
        <v>95</v>
      </c>
      <c r="I27" s="2" t="s">
        <v>288</v>
      </c>
      <c r="J27" s="3" t="s">
        <v>94</v>
      </c>
      <c r="K27" s="11">
        <v>45292</v>
      </c>
      <c r="L27" s="11">
        <v>410534</v>
      </c>
      <c r="M27" s="3" t="s">
        <v>296</v>
      </c>
      <c r="N27" s="3" t="s">
        <v>26</v>
      </c>
      <c r="O27" s="2" t="str">
        <f>I27</f>
        <v>Irvine - The</v>
      </c>
      <c r="P27" s="2" t="s">
        <v>27</v>
      </c>
      <c r="Q27" s="2" t="str">
        <f>N27</f>
        <v>Scavenger</v>
      </c>
    </row>
    <row r="28" spans="1:17" s="9" customFormat="1" ht="116.5">
      <c r="A28" s="3" t="s">
        <v>17</v>
      </c>
      <c r="B28" s="3" t="s">
        <v>261</v>
      </c>
      <c r="C28" s="10" t="s">
        <v>45</v>
      </c>
      <c r="D28" s="10" t="s">
        <v>46</v>
      </c>
      <c r="E28" s="3">
        <f>LEN(D28)</f>
        <v>142</v>
      </c>
      <c r="F28" s="2" t="s">
        <v>26</v>
      </c>
      <c r="G28" s="6">
        <v>92651</v>
      </c>
      <c r="H28" s="14" t="s">
        <v>47</v>
      </c>
      <c r="I28" s="2" t="s">
        <v>289</v>
      </c>
      <c r="J28" s="3" t="s">
        <v>43</v>
      </c>
      <c r="K28" s="11">
        <v>45292</v>
      </c>
      <c r="L28" s="11">
        <v>410534</v>
      </c>
      <c r="M28" s="3" t="s">
        <v>296</v>
      </c>
      <c r="N28" s="3" t="s">
        <v>26</v>
      </c>
      <c r="O28" s="2" t="str">
        <f>I28</f>
        <v>Laguna - Outdoor</v>
      </c>
      <c r="P28" s="2" t="s">
        <v>27</v>
      </c>
      <c r="Q28" s="2" t="str">
        <f>N28</f>
        <v>Scavenger</v>
      </c>
    </row>
    <row r="29" spans="1:17" s="9" customFormat="1" ht="105">
      <c r="A29" s="3" t="s">
        <v>120</v>
      </c>
      <c r="B29" s="3" t="s">
        <v>276</v>
      </c>
      <c r="C29" s="13" t="s">
        <v>222</v>
      </c>
      <c r="D29" s="13" t="s">
        <v>223</v>
      </c>
      <c r="E29" s="3">
        <f>LEN(D29)</f>
        <v>125</v>
      </c>
      <c r="F29" s="2" t="s">
        <v>96</v>
      </c>
      <c r="G29" s="6">
        <v>92630</v>
      </c>
      <c r="H29" s="14" t="s">
        <v>224</v>
      </c>
      <c r="I29" s="2" t="s">
        <v>225</v>
      </c>
      <c r="J29" s="3" t="s">
        <v>226</v>
      </c>
      <c r="K29" s="11">
        <v>45292</v>
      </c>
      <c r="L29" s="11">
        <v>410534</v>
      </c>
      <c r="M29" s="3" t="s">
        <v>296</v>
      </c>
      <c r="N29" s="3" t="s">
        <v>26</v>
      </c>
      <c r="O29" s="2" t="str">
        <f>I29</f>
        <v>Lake - Breach</v>
      </c>
      <c r="P29" s="2" t="s">
        <v>27</v>
      </c>
      <c r="Q29" s="2" t="str">
        <f>N29</f>
        <v>Scavenger</v>
      </c>
    </row>
    <row r="30" spans="1:17" s="9" customFormat="1" ht="34">
      <c r="A30" s="3" t="s">
        <v>121</v>
      </c>
      <c r="B30" s="3" t="s">
        <v>239</v>
      </c>
      <c r="C30" s="13" t="s">
        <v>229</v>
      </c>
      <c r="D30" s="13" t="s">
        <v>229</v>
      </c>
      <c r="E30" s="3">
        <f>LEN(D30)</f>
        <v>53</v>
      </c>
      <c r="F30" s="2" t="s">
        <v>96</v>
      </c>
      <c r="G30" s="6">
        <v>92630</v>
      </c>
      <c r="H30" s="14" t="s">
        <v>203</v>
      </c>
      <c r="I30" s="2" t="s">
        <v>228</v>
      </c>
      <c r="J30" s="3" t="s">
        <v>227</v>
      </c>
      <c r="K30" s="11">
        <v>45292</v>
      </c>
      <c r="L30" s="11">
        <v>410534</v>
      </c>
      <c r="M30" s="3" t="s">
        <v>296</v>
      </c>
      <c r="N30" s="3" t="s">
        <v>26</v>
      </c>
      <c r="O30" s="2" t="str">
        <f>I30</f>
        <v>Lake - Deceptive</v>
      </c>
      <c r="P30" s="2" t="s">
        <v>27</v>
      </c>
      <c r="Q30" s="2" t="str">
        <f>N30</f>
        <v>Scavenger</v>
      </c>
    </row>
    <row r="31" spans="1:17" s="9" customFormat="1" ht="73.5">
      <c r="A31" s="3" t="s">
        <v>38</v>
      </c>
      <c r="B31" s="3" t="s">
        <v>268</v>
      </c>
      <c r="C31" s="13" t="s">
        <v>267</v>
      </c>
      <c r="D31" s="13" t="s">
        <v>39</v>
      </c>
      <c r="E31" s="3">
        <f>LEN(D31)</f>
        <v>106</v>
      </c>
      <c r="F31" s="2" t="s">
        <v>26</v>
      </c>
      <c r="G31" s="6"/>
      <c r="H31" s="14" t="s">
        <v>273</v>
      </c>
      <c r="I31" s="2" t="s">
        <v>290</v>
      </c>
      <c r="J31" s="3" t="s">
        <v>37</v>
      </c>
      <c r="K31" s="11">
        <v>45292</v>
      </c>
      <c r="L31" s="11">
        <v>410534</v>
      </c>
      <c r="M31" s="3" t="s">
        <v>296</v>
      </c>
      <c r="N31" s="3" t="s">
        <v>26</v>
      </c>
      <c r="O31" s="2" t="str">
        <f>I31</f>
        <v>Long - Outdoor</v>
      </c>
      <c r="P31" s="2" t="s">
        <v>27</v>
      </c>
      <c r="Q31" s="2" t="str">
        <f>N31</f>
        <v>Scavenger</v>
      </c>
    </row>
    <row r="32" spans="1:17" s="9" customFormat="1" ht="34">
      <c r="A32" s="3" t="s">
        <v>103</v>
      </c>
      <c r="B32" s="3" t="s">
        <v>277</v>
      </c>
      <c r="C32" s="13" t="s">
        <v>142</v>
      </c>
      <c r="D32" s="13" t="s">
        <v>142</v>
      </c>
      <c r="E32" s="3">
        <f>LEN(D32)</f>
        <v>144</v>
      </c>
      <c r="F32" s="2" t="s">
        <v>96</v>
      </c>
      <c r="G32" s="6">
        <v>90720</v>
      </c>
      <c r="H32" s="14" t="s">
        <v>143</v>
      </c>
      <c r="I32" s="2" t="s">
        <v>144</v>
      </c>
      <c r="J32" s="3" t="s">
        <v>145</v>
      </c>
      <c r="K32" s="11">
        <v>45292</v>
      </c>
      <c r="L32" s="11">
        <v>410534</v>
      </c>
      <c r="M32" s="3" t="s">
        <v>296</v>
      </c>
      <c r="N32" s="3" t="s">
        <v>26</v>
      </c>
      <c r="O32" s="2" t="str">
        <f>I32</f>
        <v>Los - Cinema</v>
      </c>
      <c r="P32" s="2" t="s">
        <v>27</v>
      </c>
      <c r="Q32" s="2" t="str">
        <f>N32</f>
        <v>Scavenger</v>
      </c>
    </row>
    <row r="33" spans="1:17" s="9" customFormat="1" ht="42">
      <c r="A33" s="3" t="s">
        <v>114</v>
      </c>
      <c r="B33" s="3" t="s">
        <v>253</v>
      </c>
      <c r="C33" s="13" t="s">
        <v>194</v>
      </c>
      <c r="D33" s="13" t="s">
        <v>194</v>
      </c>
      <c r="E33" s="3">
        <f>LEN(D33)</f>
        <v>152</v>
      </c>
      <c r="F33" s="2" t="s">
        <v>96</v>
      </c>
      <c r="G33" s="6">
        <v>92691</v>
      </c>
      <c r="H33" s="14" t="s">
        <v>195</v>
      </c>
      <c r="I33" s="2" t="s">
        <v>196</v>
      </c>
      <c r="J33" s="3" t="s">
        <v>197</v>
      </c>
      <c r="K33" s="11">
        <v>45292</v>
      </c>
      <c r="L33" s="11">
        <v>410534</v>
      </c>
      <c r="M33" s="3" t="s">
        <v>296</v>
      </c>
      <c r="N33" s="3" t="s">
        <v>26</v>
      </c>
      <c r="O33" s="2" t="str">
        <f>I33</f>
        <v>Mission - Nerdy</v>
      </c>
      <c r="P33" s="2" t="s">
        <v>27</v>
      </c>
      <c r="Q33" s="2" t="str">
        <f>N33</f>
        <v>Scavenger</v>
      </c>
    </row>
    <row r="34" spans="1:17" s="9" customFormat="1" ht="139.5">
      <c r="A34" s="3" t="s">
        <v>64</v>
      </c>
      <c r="B34" s="3" t="s">
        <v>262</v>
      </c>
      <c r="C34" s="10" t="s">
        <v>66</v>
      </c>
      <c r="D34" s="10" t="s">
        <v>67</v>
      </c>
      <c r="E34" s="3">
        <f>LEN(D34)</f>
        <v>158</v>
      </c>
      <c r="F34" s="2" t="s">
        <v>26</v>
      </c>
      <c r="G34" s="6"/>
      <c r="H34" s="12" t="s">
        <v>274</v>
      </c>
      <c r="I34" s="2" t="s">
        <v>291</v>
      </c>
      <c r="J34" s="3" t="s">
        <v>65</v>
      </c>
      <c r="K34" s="11">
        <v>45292</v>
      </c>
      <c r="L34" s="11">
        <v>410534</v>
      </c>
      <c r="M34" s="3" t="s">
        <v>296</v>
      </c>
      <c r="N34" s="3" t="s">
        <v>26</v>
      </c>
      <c r="O34" s="2" t="s">
        <v>64</v>
      </c>
      <c r="P34" s="2" t="s">
        <v>27</v>
      </c>
      <c r="Q34" s="2" t="str">
        <f>N34</f>
        <v>Scavenger</v>
      </c>
    </row>
    <row r="35" spans="1:17" s="9" customFormat="1" ht="116.5">
      <c r="A35" s="3" t="s">
        <v>19</v>
      </c>
      <c r="B35" s="3" t="s">
        <v>263</v>
      </c>
      <c r="C35" s="10" t="s">
        <v>53</v>
      </c>
      <c r="D35" s="10" t="s">
        <v>54</v>
      </c>
      <c r="E35" s="3">
        <f>LEN(D35)</f>
        <v>142</v>
      </c>
      <c r="F35" s="2" t="s">
        <v>26</v>
      </c>
      <c r="G35" s="6">
        <v>92625</v>
      </c>
      <c r="H35" s="14" t="s">
        <v>52</v>
      </c>
      <c r="I35" s="2" t="s">
        <v>292</v>
      </c>
      <c r="J35" s="3" t="s">
        <v>51</v>
      </c>
      <c r="K35" s="11">
        <v>45292</v>
      </c>
      <c r="L35" s="11">
        <v>410534</v>
      </c>
      <c r="M35" s="3" t="s">
        <v>296</v>
      </c>
      <c r="N35" s="3" t="s">
        <v>26</v>
      </c>
      <c r="O35" s="2" t="str">
        <f>I35</f>
        <v>Newport - Outdoor</v>
      </c>
      <c r="P35" s="2" t="s">
        <v>27</v>
      </c>
      <c r="Q35" s="2" t="str">
        <f>N35</f>
        <v>Scavenger</v>
      </c>
    </row>
    <row r="36" spans="1:17" s="9" customFormat="1" ht="108" customHeight="1">
      <c r="A36" s="3" t="s">
        <v>118</v>
      </c>
      <c r="B36" s="3" t="s">
        <v>240</v>
      </c>
      <c r="C36" s="13" t="s">
        <v>215</v>
      </c>
      <c r="D36" s="13" t="s">
        <v>215</v>
      </c>
      <c r="E36" s="3">
        <f>LEN(D36)</f>
        <v>42</v>
      </c>
      <c r="F36" s="2" t="s">
        <v>96</v>
      </c>
      <c r="G36" s="6">
        <v>92867</v>
      </c>
      <c r="H36" s="14" t="s">
        <v>214</v>
      </c>
      <c r="I36" s="2" t="s">
        <v>216</v>
      </c>
      <c r="J36" s="3" t="s">
        <v>213</v>
      </c>
      <c r="K36" s="11">
        <v>45292</v>
      </c>
      <c r="L36" s="11">
        <v>410534</v>
      </c>
      <c r="M36" s="3" t="s">
        <v>296</v>
      </c>
      <c r="N36" s="3" t="s">
        <v>26</v>
      </c>
      <c r="O36" s="2" t="str">
        <f>I36</f>
        <v>Orange - Entangled</v>
      </c>
      <c r="P36" s="2" t="s">
        <v>27</v>
      </c>
      <c r="Q36" s="2" t="str">
        <f>N36</f>
        <v>Scavenger</v>
      </c>
    </row>
    <row r="37" spans="1:17" s="9" customFormat="1" ht="61" customHeight="1">
      <c r="A37" s="3" t="s">
        <v>20</v>
      </c>
      <c r="B37" s="3" t="s">
        <v>264</v>
      </c>
      <c r="C37" s="10" t="s">
        <v>57</v>
      </c>
      <c r="D37" s="10" t="s">
        <v>58</v>
      </c>
      <c r="E37" s="3">
        <f>LEN(D37)</f>
        <v>151</v>
      </c>
      <c r="F37" s="2" t="s">
        <v>26</v>
      </c>
      <c r="G37" s="6">
        <v>92672</v>
      </c>
      <c r="H37" s="14" t="s">
        <v>56</v>
      </c>
      <c r="I37" s="2" t="s">
        <v>293</v>
      </c>
      <c r="J37" s="3" t="s">
        <v>55</v>
      </c>
      <c r="K37" s="11">
        <v>45292</v>
      </c>
      <c r="L37" s="11">
        <v>410534</v>
      </c>
      <c r="M37" s="3" t="s">
        <v>296</v>
      </c>
      <c r="N37" s="3" t="s">
        <v>26</v>
      </c>
      <c r="O37" s="2" t="str">
        <f>I37</f>
        <v>San - Outdoor</v>
      </c>
      <c r="P37" s="2" t="s">
        <v>27</v>
      </c>
      <c r="Q37" s="2" t="str">
        <f>N37</f>
        <v>Scavenger</v>
      </c>
    </row>
    <row r="38" spans="1:17" s="9" customFormat="1" ht="70" customHeight="1">
      <c r="A38" s="3" t="s">
        <v>22</v>
      </c>
      <c r="B38" s="3" t="s">
        <v>265</v>
      </c>
      <c r="C38" s="10" t="s">
        <v>69</v>
      </c>
      <c r="D38" s="10" t="s">
        <v>70</v>
      </c>
      <c r="E38" s="3">
        <f>LEN(D38)</f>
        <v>139</v>
      </c>
      <c r="F38" s="2" t="s">
        <v>26</v>
      </c>
      <c r="G38" s="6"/>
      <c r="H38" s="12" t="s">
        <v>71</v>
      </c>
      <c r="I38" s="2" t="s">
        <v>294</v>
      </c>
      <c r="J38" s="3" t="s">
        <v>68</v>
      </c>
      <c r="K38" s="11">
        <v>45292</v>
      </c>
      <c r="L38" s="11">
        <v>410534</v>
      </c>
      <c r="M38" s="3" t="s">
        <v>296</v>
      </c>
      <c r="N38" s="3" t="s">
        <v>26</v>
      </c>
      <c r="O38" s="2" t="str">
        <f>I38</f>
        <v>Santa Ana - Outdoor</v>
      </c>
      <c r="P38" s="2" t="s">
        <v>27</v>
      </c>
      <c r="Q38" s="2" t="str">
        <f>N38</f>
        <v>Scavenger</v>
      </c>
    </row>
    <row r="39" spans="1:17" s="9" customFormat="1" ht="126.5" customHeight="1">
      <c r="A39" s="3" t="s">
        <v>122</v>
      </c>
      <c r="B39" s="3" t="s">
        <v>245</v>
      </c>
      <c r="C39" s="13" t="s">
        <v>233</v>
      </c>
      <c r="D39" s="13" t="s">
        <v>233</v>
      </c>
      <c r="E39" s="3">
        <f>LEN(D39)</f>
        <v>43</v>
      </c>
      <c r="F39" s="2" t="s">
        <v>96</v>
      </c>
      <c r="G39" s="6">
        <v>92780</v>
      </c>
      <c r="H39" s="14" t="s">
        <v>232</v>
      </c>
      <c r="I39" s="2" t="s">
        <v>231</v>
      </c>
      <c r="J39" s="3" t="s">
        <v>230</v>
      </c>
      <c r="K39" s="11">
        <v>45292</v>
      </c>
      <c r="L39" s="11">
        <v>410534</v>
      </c>
      <c r="M39" s="3" t="s">
        <v>296</v>
      </c>
      <c r="N39" s="3" t="s">
        <v>26</v>
      </c>
      <c r="O39" s="2" t="str">
        <f>I39</f>
        <v>Tustin - Escapement</v>
      </c>
      <c r="P39" s="2" t="s">
        <v>27</v>
      </c>
      <c r="Q39" s="2" t="str">
        <f>N39</f>
        <v>Scavenger</v>
      </c>
    </row>
    <row r="40" spans="1:17" s="9" customFormat="1" ht="133" customHeight="1">
      <c r="A40" s="3" t="s">
        <v>80</v>
      </c>
      <c r="B40" s="3" t="s">
        <v>87</v>
      </c>
      <c r="C40" s="13" t="s">
        <v>77</v>
      </c>
      <c r="D40" s="13" t="s">
        <v>78</v>
      </c>
      <c r="E40" s="3">
        <f>LEN(D40)</f>
        <v>154</v>
      </c>
      <c r="F40" s="2" t="s">
        <v>96</v>
      </c>
      <c r="G40" s="6">
        <v>92780</v>
      </c>
      <c r="H40" s="12" t="s">
        <v>76</v>
      </c>
      <c r="I40" s="2" t="s">
        <v>90</v>
      </c>
      <c r="J40" s="3" t="s">
        <v>79</v>
      </c>
      <c r="K40" s="11">
        <v>45292</v>
      </c>
      <c r="L40" s="11">
        <v>410534</v>
      </c>
      <c r="M40" s="3" t="s">
        <v>296</v>
      </c>
      <c r="N40" s="3" t="s">
        <v>26</v>
      </c>
      <c r="O40" s="2" t="str">
        <f>I40</f>
        <v>Tustin - Intrepid</v>
      </c>
      <c r="P40" s="2" t="s">
        <v>27</v>
      </c>
      <c r="Q40" s="2" t="str">
        <f>N40</f>
        <v>Scavenger</v>
      </c>
    </row>
    <row r="41" spans="1:17" s="9" customFormat="1" ht="34">
      <c r="A41" s="3" t="s">
        <v>117</v>
      </c>
      <c r="B41" s="3" t="s">
        <v>250</v>
      </c>
      <c r="C41" s="13" t="s">
        <v>210</v>
      </c>
      <c r="D41" s="13" t="s">
        <v>210</v>
      </c>
      <c r="E41" s="3">
        <f>LEN(D41)</f>
        <v>48</v>
      </c>
      <c r="F41" s="2" t="s">
        <v>96</v>
      </c>
      <c r="G41" s="6">
        <v>92683</v>
      </c>
      <c r="H41" s="14" t="s">
        <v>209</v>
      </c>
      <c r="I41" s="2" t="s">
        <v>211</v>
      </c>
      <c r="J41" s="3" t="s">
        <v>212</v>
      </c>
      <c r="K41" s="11">
        <v>45292</v>
      </c>
      <c r="L41" s="11">
        <v>410534</v>
      </c>
      <c r="M41" s="3" t="s">
        <v>296</v>
      </c>
      <c r="N41" s="3" t="s">
        <v>26</v>
      </c>
      <c r="O41" s="2" t="str">
        <f>I41</f>
        <v>Westminster - Kings</v>
      </c>
      <c r="P41" s="2" t="s">
        <v>27</v>
      </c>
      <c r="Q41" s="2" t="str">
        <f>N41</f>
        <v>Scavenger</v>
      </c>
    </row>
    <row r="42" spans="1:17" s="9" customFormat="1" ht="63">
      <c r="A42" s="3" t="s">
        <v>111</v>
      </c>
      <c r="B42" s="3" t="s">
        <v>244</v>
      </c>
      <c r="C42" s="13" t="s">
        <v>180</v>
      </c>
      <c r="D42" s="13" t="s">
        <v>181</v>
      </c>
      <c r="E42" s="3">
        <f>LEN(D42)</f>
        <v>152</v>
      </c>
      <c r="F42" s="2" t="s">
        <v>96</v>
      </c>
      <c r="G42" s="6">
        <v>92683</v>
      </c>
      <c r="H42" s="14" t="s">
        <v>182</v>
      </c>
      <c r="I42" s="2" t="s">
        <v>183</v>
      </c>
      <c r="J42" s="3" t="s">
        <v>184</v>
      </c>
      <c r="K42" s="11">
        <v>45292</v>
      </c>
      <c r="L42" s="11">
        <v>410534</v>
      </c>
      <c r="M42" s="3" t="s">
        <v>296</v>
      </c>
      <c r="N42" s="3" t="s">
        <v>26</v>
      </c>
      <c r="O42" s="2" t="str">
        <f>I42</f>
        <v>Westminster - Escape</v>
      </c>
      <c r="P42" s="2" t="s">
        <v>27</v>
      </c>
      <c r="Q42" s="2" t="str">
        <f>N42</f>
        <v>Scavenger</v>
      </c>
    </row>
    <row r="43" spans="1:17" s="9" customFormat="1"/>
    <row r="44" spans="1:17" s="9" customFormat="1"/>
    <row r="45" spans="1:17" s="9" customFormat="1"/>
    <row r="46" spans="1:17" s="9" customFormat="1"/>
    <row r="47" spans="1:17" s="9" customFormat="1"/>
    <row r="48" spans="1:17" s="9" customFormat="1"/>
    <row r="49" s="9" customFormat="1"/>
    <row r="50" s="9" customFormat="1"/>
    <row r="51" s="9" customFormat="1"/>
    <row r="52" s="9" customFormat="1"/>
    <row r="53" s="9" customFormat="1"/>
    <row r="54" s="9" customFormat="1"/>
  </sheetData>
  <autoFilter ref="A1:Q42" xr:uid="{63DA3E44-3605-449C-AE11-8D4FB01A0BBE}">
    <sortState xmlns:xlrd2="http://schemas.microsoft.com/office/spreadsheetml/2017/richdata2" ref="A2:Q42">
      <sortCondition ref="B1:B42"/>
    </sortState>
  </autoFilter>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Scavenger</vt:lpstr>
      <vt:lpstr>Scavenger!Print_Area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2024-07-22T03:13:42Z</dcterms:modified>
</cp:coreProperties>
</file>