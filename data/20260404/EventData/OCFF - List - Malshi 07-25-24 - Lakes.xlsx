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440" documentId="8_{1137F927-2E40-4445-A122-513C75734BC6}" xr6:coauthVersionLast="47" xr6:coauthVersionMax="47" xr10:uidLastSave="{7533573E-7BCE-4D9D-902B-401648B158D6}"/>
  <bookViews>
    <workbookView xWindow="-110" yWindow="-110" windowWidth="19420" windowHeight="11500" xr2:uid="{3F4AF157-4EA4-44F9-9369-4ED39BF1C451}"/>
  </bookViews>
  <sheets>
    <sheet name="Lakes" sheetId="2" r:id="rId1"/>
  </sheets>
  <definedNames>
    <definedName name="_xlnm._FilterDatabase" localSheetId="0" hidden="1">Lakes!$A$1:$Q$11</definedName>
    <definedName name="_xlnm.Print_Area" localSheetId="0">Lakes!$A$1:$B$11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2" l="1"/>
  <c r="E12" i="2"/>
  <c r="E4" i="2"/>
  <c r="O12" i="2"/>
  <c r="O5" i="2"/>
  <c r="E9" i="2"/>
  <c r="E5" i="2"/>
  <c r="Q9" i="2"/>
  <c r="Q5" i="2"/>
  <c r="Q12" i="2"/>
  <c r="Q4" i="2"/>
  <c r="O9" i="2"/>
  <c r="E2" i="2"/>
  <c r="E3" i="2"/>
  <c r="E11" i="2"/>
  <c r="E14" i="2"/>
  <c r="E13" i="2"/>
  <c r="E6" i="2"/>
  <c r="E8" i="2"/>
  <c r="E10" i="2"/>
  <c r="E7" i="2"/>
  <c r="O14" i="2"/>
  <c r="O13" i="2"/>
  <c r="O2" i="2"/>
  <c r="O3" i="2"/>
  <c r="O11" i="2"/>
  <c r="O6" i="2"/>
  <c r="O8" i="2"/>
  <c r="O10" i="2"/>
  <c r="O7" i="2"/>
  <c r="Q14" i="2"/>
  <c r="Q13" i="2"/>
  <c r="Q2" i="2"/>
  <c r="Q3" i="2"/>
  <c r="Q11" i="2"/>
  <c r="Q6" i="2"/>
  <c r="Q8" i="2"/>
  <c r="Q10" i="2"/>
  <c r="Q7" i="2"/>
</calcChain>
</file>

<file path=xl/sharedStrings.xml><?xml version="1.0" encoding="utf-8"?>
<sst xmlns="http://schemas.openxmlformats.org/spreadsheetml/2006/main" count="160" uniqueCount="110">
  <si>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</si>
  <si>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</si>
  <si>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</si>
  <si>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</si>
  <si>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</si>
  <si>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</si>
  <si>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</si>
  <si>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</si>
  <si>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</si>
  <si>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</si>
  <si>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</si>
  <si>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</si>
  <si>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</si>
  <si>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</si>
  <si>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</si>
  <si>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</si>
  <si>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Irvine lake</t>
  </si>
  <si>
    <t>RSM lake</t>
  </si>
  <si>
    <t>Crescent retrading basin</t>
  </si>
  <si>
    <t>Gilbert retarding basin</t>
  </si>
  <si>
    <t>Lake mission viejo</t>
  </si>
  <si>
    <t>Laguna lake</t>
  </si>
  <si>
    <t>North lake</t>
  </si>
  <si>
    <t>Laguna niguel lake</t>
  </si>
  <si>
    <t>Lake huntington</t>
  </si>
  <si>
    <t>Laguna - Lake</t>
  </si>
  <si>
    <t>Laguna Niguel - Lake</t>
  </si>
  <si>
    <t>Lake</t>
  </si>
  <si>
    <t>Family</t>
  </si>
  <si>
    <t>Solo, family, date, group</t>
  </si>
  <si>
    <t>Lakes</t>
  </si>
  <si>
    <t>https://www.ocparks.com/parks-trails/irvine-lake</t>
  </si>
  <si>
    <t xml:space="preserve">4621 E Santiago Canyon Rd. Silverado, CA </t>
  </si>
  <si>
    <t>Silverado - Irvine Lake</t>
  </si>
  <si>
    <t>Irvine Lake is a reservoir in Orange County, CA. It is on Santiago Creek, located in Silverado, California, east of the city of Irvine and close to Irvine Regional Park. The reservoir is currently operated by the Serrano Water District and OC Parks.</t>
  </si>
  <si>
    <t xml:space="preserve">Irvine Lake is a reservoir in OC, CA. It is on Santiago Creek, located in Silverado, CA, east of the city of Irvine and close to Irvine Regional Park. </t>
  </si>
  <si>
    <t>Silverado - Irvine</t>
  </si>
  <si>
    <t>Rancho Santa Margarita - Lake</t>
  </si>
  <si>
    <t>https://samlarc.org/amenities/lake/lago-santa-margarita</t>
  </si>
  <si>
    <t xml:space="preserve">21472 Avenida De Los Fundadores, Rancho Santa Margarita, CA </t>
  </si>
  <si>
    <t>Rancho - Lake</t>
  </si>
  <si>
    <t xml:space="preserve"> Rancho Santa Margarita Lake covers 11.5 surface acres &amp; holds 31 million gallons of water &amp; its 1.1-mile circumference offers beautiful sights.</t>
  </si>
  <si>
    <t>https://www.goingoutside.com/lake/100/1009919_Crescent_Retarding_Basin_California.html#google_vignette</t>
  </si>
  <si>
    <t>While you're here at Crescent Retarding Basin lake you will meet lots of folks from close by Anaheim. If you would like fishing you could always stop at Paradiso Yacht Charters, and a great nearby hotel is Hotel Pepper Tree. Go on a journey to Ray's Schabarum Regional Park Equestrian Center if you want to ride a horse, and it's always fun to go for a fishing trip and a fine scene to do that is Davey's Locker Sport Fishing. This place
    is so good, just check out all the exciting things to do right next door to Crescent Retarding Basin. A tremendous petting zoo near Crescent Retarding Basin is Pegasus Ponies &amp; Petting Zoos.</t>
  </si>
  <si>
    <t xml:space="preserve">While you're here at Crescent Retarding Basin lake you will meet lots of folks from close by Anaheim.
</t>
  </si>
  <si>
    <t>Anaheim, CA</t>
  </si>
  <si>
    <t>Anaheim - Crescent</t>
  </si>
  <si>
    <t>Anaheim - Crescent Basin Lake</t>
  </si>
  <si>
    <t>Woodridge south lake</t>
  </si>
  <si>
    <t>Yorba regional club</t>
  </si>
  <si>
    <t>Eisenhower park and lake</t>
  </si>
  <si>
    <t>Santa ana river trail</t>
  </si>
  <si>
    <t>https://www.goingoutside.com/lake/101/1010467_Gilbert_Retarding_Basin_California.html#google_vignette</t>
  </si>
  <si>
    <t xml:space="preserve">Anaheim, CA </t>
  </si>
  <si>
    <t>Anaheim - Gilbert</t>
  </si>
  <si>
    <t>Anaheim - Gilbert Basin Lake</t>
  </si>
  <si>
    <t xml:space="preserve">22555 Olympiad Rd, Mission Viejo, CA </t>
  </si>
  <si>
    <t>https://lakemissionviejo.org/about-us/</t>
  </si>
  <si>
    <t>Mission - Lake</t>
  </si>
  <si>
    <t>Mission Viejo - Lake</t>
  </si>
  <si>
    <t>Lake Mission Viejo Association is a homeowners association (HOA). Lake facilities and events are for use by owners of member properties, their accompanied guests, or designated tenants.  Property owners are subject to the association’s covenants, conditions, and restrictions (CC&amp;R’s).</t>
  </si>
  <si>
    <t xml:space="preserve">Lake MV Assoc. is a homeowners association. Facilities &amp; events are for use by owners of member properties, their accompanied guests, or designated tenants.  </t>
  </si>
  <si>
    <t>Fullerton - Laguna</t>
  </si>
  <si>
    <t>Fullerton - Laguna Lake</t>
  </si>
  <si>
    <t>https://www.cityoffullerton.com/Home/Components/FacilityDirectory/FacilityDirectory/76/33?npage=3&amp;sortn=FCAddress&amp;sortd=asc</t>
  </si>
  <si>
    <t xml:space="preserve">3120 Lakeview Dr. Fullerton, CA </t>
  </si>
  <si>
    <t>Laguna Lake is guaranteed to please park visitors whether they are nature lovers, hikers, joggers, equestrians, bicyclists or fishermen. Park guests can picnic in the park area just below the dam, stroll around the lake on hard pack dirt trails, or depending on the time year, cast a line for rainbow trout, catfish, bass or bluegill.</t>
  </si>
  <si>
    <t xml:space="preserve">Laguna Lake is guaranteed to please park visitors whether they are nature lovers, hikers, joggers, equestrians, bicyclists or fishermen. </t>
  </si>
  <si>
    <t xml:space="preserve">1 Islandview Irvine, CA </t>
  </si>
  <si>
    <t>Irvine - North</t>
  </si>
  <si>
    <t>https://backyard-destinations.com/north-lake-irvine/</t>
  </si>
  <si>
    <t>Irvine - North Lake</t>
  </si>
  <si>
    <t>North Lake is located in a residential area (with free street parking!) and it is a captivating vibrant blue in the middle of the day, so it truly is a treat to walk up to the sidewalk and be greeted with such blue splendor. There’s a pathway all around the lake where you can jog or go for a leisurely stroll, and it’s right next to North Lake Park where there is a playground and benches.</t>
  </si>
  <si>
    <t>North Lake is located in a residential area (with free street parking!) and it is a captivating vibrant blue in the middle of the day.</t>
  </si>
  <si>
    <t>Laguna Niguel Lake, formerly known as Sulphur Creek Reservoir, is an artificial 44-acre fishing and recreational lake in Laguna Niguel, California. It is created by the Sulphur Creek Dam, which was completed in 1966</t>
  </si>
  <si>
    <t>28241 La Paz Rd Laguna Niguel, CA</t>
  </si>
  <si>
    <t>http://fishingnetwork.net/index.php?pageid=Laguna-Niguel-Lake#google_vignette</t>
  </si>
  <si>
    <t xml:space="preserve">Laguna Niguel Lake, formerly known as Sulphur Creek Reservoir, is an artificial 44-acre fishing and recreational lake in Laguna Niguel, California. </t>
  </si>
  <si>
    <t>https://www.huntingtonbeachca.gov/business_detail_T9_R354.php</t>
  </si>
  <si>
    <t>Huntington Lake and Talbert Lake ring the beauty of Huntington Central Park. Both lakes have exercise trails surrounding the perimeter for those that like to walk, jog, bike or dog-walk. Benches circle the edges of both lakes for anyone wanting to relax and enjoy the scenery. Fishing is permitted according to State Fish and Game Regulations, and anyone over age 16 is required to have a fishing license clearly visible.</t>
  </si>
  <si>
    <t xml:space="preserve"> The Huntington lake has exercise trails surrounding the perimeter for those that like to walk, jog, bike or dog-walk. </t>
  </si>
  <si>
    <t xml:space="preserve">Huntington Beach, CA </t>
  </si>
  <si>
    <t>Huntington - Lake</t>
  </si>
  <si>
    <t>1 Blue Lk S Irvine, CA</t>
  </si>
  <si>
    <t>Irvine - Woodridge</t>
  </si>
  <si>
    <t>https://www.wva.org/page/21440~422725/lakes</t>
  </si>
  <si>
    <t>Woodbridge is well-known for its two landmark lakes, North Lake and South Lake.  Woodbridge takes its name from the wood footbridges that span both lakes.  Our lakes are a valuable resource to the community due to their aesthetic beauty and source for recreation enjoyment.  The lakes are maintained by the Association staff on a daily basis.</t>
  </si>
  <si>
    <t xml:space="preserve">Woodbridge is well-known for its two landmark lakes, North Lake and South Lake.  Woodbridge takes its name from the wood footbridges that span both lakes.  </t>
  </si>
  <si>
    <t xml:space="preserve">7600 E La Palma Ave, Anaheim, CA </t>
  </si>
  <si>
    <t>Anaheim - Yorba</t>
  </si>
  <si>
    <t>Anaheim - Yorba Regional Club Lake</t>
  </si>
  <si>
    <t>https://ocparks.com/yorbapark</t>
  </si>
  <si>
    <t xml:space="preserve">Yorba Park Lake has a series of four lakes with connecting streams offer an aquatic environment &amp; provide opportunities for fishing and model boat sailing. </t>
  </si>
  <si>
    <t>https://www.cityoforange.org/Home/Components/FacilityDirectory/FacilityDirectory/32/</t>
  </si>
  <si>
    <t xml:space="preserve">2864 N Tustin Orange, CA </t>
  </si>
  <si>
    <t>Orange - Eisenhower</t>
  </si>
  <si>
    <t>Orange - Eisenhower Lake</t>
  </si>
  <si>
    <t>https://www.fishinglakes.com/locations/santa-ana-river-lakes/</t>
  </si>
  <si>
    <t>4060 E La Palma Ave Anaheim, CA</t>
  </si>
  <si>
    <t>Anaheim - Santa</t>
  </si>
  <si>
    <t>Anaheim - Santa Ana Lake</t>
  </si>
  <si>
    <r>
      <t>Santa Ana River Lake is </t>
    </r>
    <r>
      <rPr>
        <sz val="10"/>
        <color rgb="FF040C28"/>
        <rFont val="Times New Roman"/>
        <family val="1"/>
      </rPr>
      <t>approximately 2 miles in circumference and is a privately controlled lake</t>
    </r>
    <r>
      <rPr>
        <sz val="10"/>
        <color rgb="FF1F1F1F"/>
        <rFont val="Times New Roman"/>
        <family val="1"/>
      </rPr>
      <t>. Entry fees range from $29.00 per person up to $88.00 for family overnight fishing / camping.</t>
    </r>
  </si>
  <si>
    <r>
      <t>Santa Ana River Lake is </t>
    </r>
    <r>
      <rPr>
        <sz val="10"/>
        <color rgb="FF040C28"/>
        <rFont val="Times New Roman"/>
        <family val="1"/>
      </rPr>
      <t>approximately 2 miles in circumference and is a privately controlled lake</t>
    </r>
    <r>
      <rPr>
        <sz val="10"/>
        <color rgb="FF1F1F1F"/>
        <rFont val="Times New Roman"/>
        <family val="1"/>
      </rPr>
      <t xml:space="preserve">. </t>
    </r>
  </si>
  <si>
    <t>Irvine - Woodridge Lake</t>
  </si>
  <si>
    <t>Eisenhower park lake is located in Orange, CA tucked away in quiet residential neighborhood. Many consider this park to be a spectacular secret hideaway. It’s a very beautiful, scenic that it’s also a popular location for many family photos, quinceañera photos, engagement photos and much more.</t>
  </si>
  <si>
    <t>Eisenhower park lake is located in Orange, CA tucked away in quiet residential neighborhood. Many consider this park to be a spectacular secret hideaway.</t>
  </si>
  <si>
    <t>And if that's not sufficient, there's heaps more to do near Gilbert Retarding Basin lake. Play a little game of mini golf at Golfland near Gilbert Retarding Basin. Ray's Schabarum Regional Park Equestrian Center is a great scene to ride horses near Gilbert Retarding Basin. A day of fishing at Davey's Locker Sport Fishing is always a splendid idea; Gilbert Retarding Basin is great enough to spend more than a day at, Anaheim Vacation Park is a great local campground.</t>
  </si>
  <si>
    <t>And if that's not sufficient, there's heaps more to do near Gilbert Retarding Basin lake. Play a little game of mini golf at Golfland .</t>
  </si>
  <si>
    <t>Yorba Park lake has been developed to provide an abundance of family and group picnicking facilities. More than 400 picnic tables are situated in the park, many with permanent shade structures. A series of four lakes with connecting streams offer a pleasing aquatic environment and provide opportunities for fishing and model boat sailing. Bicycle trails meander through the park, and connect to the nationally recognized Santa Ana River Trail, leading some 20 miles to the Pacific Ocean.</t>
  </si>
  <si>
    <t>The Lago Santa Margarita lake lies in the shadow of the Saddleback Mountains. The Lake covers 11.5 surface acres and holds 31 million gallons of water - and its 1.1-mile circumference offers beautiful sights while you stroll! The Lake offers five fitness stations, multiple fishing points, and a peaceful amphitheater for relaxation. The Lago Santa Margarita is the stage for several special events throughout the year, including the July 4th Star Spangled Spectacular and the Annual Christmas Tree Lighting, and hosts summer kayak and pedal boat rentals for waterside recreation.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</si>
</sst>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8"/>
      <color rgb="FF000000"/>
      <name val="Times New Roman"/>
      <family val="1"/>
    </font>
    <font>
      <sz val="10"/>
      <color rgb="FF040C28"/>
      <name val="Times New Roman"/>
      <family val="1"/>
    </font>
    <font>
      <sz val="10"/>
      <color rgb="FF1F1F1F"/>
      <name val="Times New Roman"/>
      <family val="1"/>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3"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xf numFmtId="0" fontId="2" fillId="2" borderId="1" xfId="0" applyFont="1" applyFill="1" applyBorder="1" applyAlignment="1">
      <alignment horizontal="left"/>
    </xf>
    <xf numFmtId="0" fontId="0" fillId="4" borderId="0" xfId="0" applyFill="1"/>
    <xf numFmtId="0" fontId="1" fillId="4" borderId="1" xfId="0" applyFont="1" applyFill="1" applyBorder="1" applyAlignment="1">
      <alignment horizontal="center"/>
    </xf>
    <xf numFmtId="0" fontId="0" fillId="2" borderId="0" xfId="0" applyFill="1"/>
    <xf numFmtId="14" fontId="2" fillId="2" borderId="1" xfId="0" applyNumberFormat="1" applyFont="1" applyFill="1" applyBorder="1"/>
    <xf numFmtId="0" fontId="5" fillId="2" borderId="1" xfId="0" applyFont="1" applyFill="1" applyBorder="1" applyAlignment="1">
      <alignment vertical="center" wrapText="1"/>
    </xf>
    <xf numFmtId="0" fontId="4" fillId="2" borderId="1" xfId="0" applyFont="1" applyFill="1" applyBorder="1" applyAlignment="1">
      <alignment wrapText="1"/>
    </xf>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google.com/maps?f=l&amp;hl=en&amp;q=2864+N+Tustin%2c+Orange%2c+CA+928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17"/>
  <sheetViews>
    <sheetView tabSelected="1" zoomScale="80" zoomScaleNormal="80" workbookViewId="0">
      <pane ySplit="1" topLeftCell="A2" activePane="bottomLeft" state="frozen"/>
      <selection pane="bottomLeft" activeCell="C14" sqref="C14"/>
    </sheetView>
  </sheetViews>
  <sheetFormatPr defaultRowHeight="14.5" x14ac:dyDescent="0.3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1.81640625" style="7" customWidth="1"/>
    <col min="12" max="12" width="11.26953125" style="7"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x14ac:dyDescent="0.4">
      <c r="A1" s="1" t="s">
        <v>0</v>
      </c>
      <c r="B1" s="1" t="s">
        <v>11</v>
      </c>
      <c r="C1" s="1" t="s">
        <v>12</v>
      </c>
      <c r="D1" s="4" t="s">
        <v>13</v>
      </c>
      <c r="E1" s="5" t="s">
        <v>14</v>
      </c>
      <c r="F1" s="1" t="s">
        <v>1</v>
      </c>
      <c r="G1" s="1" t="s">
        <v>2</v>
      </c>
      <c r="H1" s="1" t="s">
        <v>3</v>
      </c>
      <c r="I1" s="4" t="s">
        <v>10</v>
      </c>
      <c r="J1" s="1" t="s">
        <v>4</v>
      </c>
      <c r="K1" s="8" t="s">
        <v>5</v>
      </c>
      <c r="L1" s="8" t="s">
        <v>6</v>
      </c>
      <c r="M1" s="1" t="s">
        <v>7</v>
      </c>
      <c r="N1" s="1" t="s">
        <v>8</v>
      </c>
      <c r="O1" s="1" t="s">
        <v>9</v>
      </c>
      <c r="P1" s="4" t="s">
        <v>15</v>
      </c>
      <c r="Q1" s="1" t="s">
        <v>8</v>
      </c>
    </row>
    <row r="2" spans="1:17" s="9" customFormat="1" ht="142.5" customHeight="1" x14ac:dyDescent="0.4">
      <c r="A2" s="3" t="s">
        <v>18</v>
      </c>
      <c r="B2" s="3" t="s">
        <v>47</v>
      </c>
      <c r="C2" s="11" t="s">
        <v>43</v>
      </c>
      <c r="D2" s="11" t="s">
        <v>44</v>
      </c>
      <c r="E2" s="3">
        <f>LEN(D2)</f>
        <v>102</v>
      </c>
      <c r="F2" s="2" t="s">
        <v>27</v>
      </c>
      <c r="G2" s="6">
        <v>92801</v>
      </c>
      <c r="H2" s="12" t="s">
        <v>45</v>
      </c>
      <c r="I2" s="2" t="s">
        <v>46</v>
      </c>
      <c r="J2" s="3" t="s">
        <v>42</v>
      </c>
      <c r="K2" s="10">
        <v>45292</v>
      </c>
      <c r="L2" s="10">
        <v>410534</v>
      </c>
      <c r="M2" s="3" t="s">
        <v>29</v>
      </c>
      <c r="N2" s="3" t="s">
        <v>30</v>
      </c>
      <c r="O2" s="2" t="str">
        <f>I2</f>
        <v>Anaheim - Crescent</v>
      </c>
      <c r="P2" s="2" t="s">
        <v>28</v>
      </c>
      <c r="Q2" s="2" t="str">
        <f>N2</f>
        <v>Lakes</v>
      </c>
    </row>
    <row r="3" spans="1:17" s="9" customFormat="1" ht="125.5" customHeight="1" x14ac:dyDescent="0.4">
      <c r="A3" s="2" t="s">
        <v>19</v>
      </c>
      <c r="B3" s="3" t="s">
        <v>55</v>
      </c>
      <c r="C3" s="11" t="s">
        <v>106</v>
      </c>
      <c r="D3" s="11" t="s">
        <v>107</v>
      </c>
      <c r="E3" s="3">
        <f>LEN(D3)</f>
        <v>135</v>
      </c>
      <c r="F3" s="2" t="s">
        <v>27</v>
      </c>
      <c r="G3" s="6">
        <v>92801</v>
      </c>
      <c r="H3" s="12" t="s">
        <v>53</v>
      </c>
      <c r="I3" s="2" t="s">
        <v>54</v>
      </c>
      <c r="J3" s="3" t="s">
        <v>52</v>
      </c>
      <c r="K3" s="10">
        <v>45292</v>
      </c>
      <c r="L3" s="10">
        <v>410534</v>
      </c>
      <c r="M3" s="3" t="s">
        <v>29</v>
      </c>
      <c r="N3" s="3" t="s">
        <v>30</v>
      </c>
      <c r="O3" s="2" t="str">
        <f>I3</f>
        <v>Anaheim - Gilbert</v>
      </c>
      <c r="P3" s="2" t="s">
        <v>28</v>
      </c>
      <c r="Q3" s="2" t="str">
        <f>N3</f>
        <v>Lakes</v>
      </c>
    </row>
    <row r="4" spans="1:17" s="9" customFormat="1" ht="86.5" customHeight="1" x14ac:dyDescent="0.4">
      <c r="A4" s="13" t="s">
        <v>51</v>
      </c>
      <c r="B4" s="13" t="s">
        <v>100</v>
      </c>
      <c r="C4" s="11" t="s">
        <v>101</v>
      </c>
      <c r="D4" s="11" t="s">
        <v>102</v>
      </c>
      <c r="E4" s="3">
        <f>LEN(D4)</f>
        <v>99</v>
      </c>
      <c r="F4" s="2" t="s">
        <v>27</v>
      </c>
      <c r="G4" s="6">
        <v>92807</v>
      </c>
      <c r="H4" s="12" t="s">
        <v>98</v>
      </c>
      <c r="I4" s="2" t="s">
        <v>99</v>
      </c>
      <c r="J4" s="3" t="s">
        <v>97</v>
      </c>
      <c r="K4" s="10">
        <v>45292</v>
      </c>
      <c r="L4" s="10">
        <v>410534</v>
      </c>
      <c r="M4" s="3" t="s">
        <v>29</v>
      </c>
      <c r="N4" s="3" t="s">
        <v>30</v>
      </c>
      <c r="O4" s="13" t="str">
        <f>I4</f>
        <v>Anaheim - Santa</v>
      </c>
      <c r="P4" s="2" t="s">
        <v>28</v>
      </c>
      <c r="Q4" s="2" t="str">
        <f>N4</f>
        <v>Lakes</v>
      </c>
    </row>
    <row r="5" spans="1:17" s="9" customFormat="1" ht="140.5" customHeight="1" x14ac:dyDescent="0.4">
      <c r="A5" s="13" t="s">
        <v>49</v>
      </c>
      <c r="B5" s="13" t="s">
        <v>90</v>
      </c>
      <c r="C5" s="11" t="s">
        <v>108</v>
      </c>
      <c r="D5" s="11" t="s">
        <v>92</v>
      </c>
      <c r="E5" s="3">
        <f>LEN(D5)</f>
        <v>156</v>
      </c>
      <c r="F5" s="2" t="s">
        <v>27</v>
      </c>
      <c r="G5" s="6">
        <v>92807</v>
      </c>
      <c r="H5" s="12" t="s">
        <v>88</v>
      </c>
      <c r="I5" s="2" t="s">
        <v>89</v>
      </c>
      <c r="J5" s="3" t="s">
        <v>91</v>
      </c>
      <c r="K5" s="10">
        <v>45292</v>
      </c>
      <c r="L5" s="10">
        <v>410534</v>
      </c>
      <c r="M5" s="3" t="s">
        <v>29</v>
      </c>
      <c r="N5" s="3" t="s">
        <v>30</v>
      </c>
      <c r="O5" s="13" t="str">
        <f>I5</f>
        <v>Anaheim - Yorba</v>
      </c>
      <c r="P5" s="2" t="s">
        <v>28</v>
      </c>
      <c r="Q5" s="2" t="str">
        <f>N5</f>
        <v>Lakes</v>
      </c>
    </row>
    <row r="6" spans="1:17" s="9" customFormat="1" ht="113.5" customHeight="1" x14ac:dyDescent="0.4">
      <c r="A6" s="3" t="s">
        <v>21</v>
      </c>
      <c r="B6" s="3" t="s">
        <v>63</v>
      </c>
      <c r="C6" s="11" t="s">
        <v>66</v>
      </c>
      <c r="D6" s="11" t="s">
        <v>67</v>
      </c>
      <c r="E6" s="3">
        <f>LEN(D6)</f>
        <v>137</v>
      </c>
      <c r="F6" s="2" t="s">
        <v>27</v>
      </c>
      <c r="G6" s="6">
        <v>92835</v>
      </c>
      <c r="H6" s="12" t="s">
        <v>65</v>
      </c>
      <c r="I6" s="2" t="s">
        <v>62</v>
      </c>
      <c r="J6" s="3" t="s">
        <v>64</v>
      </c>
      <c r="K6" s="10">
        <v>45292</v>
      </c>
      <c r="L6" s="10">
        <v>410534</v>
      </c>
      <c r="M6" s="3" t="s">
        <v>29</v>
      </c>
      <c r="N6" s="3" t="s">
        <v>30</v>
      </c>
      <c r="O6" s="2" t="str">
        <f>I6</f>
        <v>Fullerton - Laguna</v>
      </c>
      <c r="P6" s="2" t="s">
        <v>28</v>
      </c>
      <c r="Q6" s="2" t="str">
        <f>N6</f>
        <v>Lakes</v>
      </c>
    </row>
    <row r="7" spans="1:17" s="9" customFormat="1" ht="117" customHeight="1" x14ac:dyDescent="0.4">
      <c r="A7" s="3" t="s">
        <v>24</v>
      </c>
      <c r="B7" s="3" t="s">
        <v>82</v>
      </c>
      <c r="C7" s="11" t="s">
        <v>79</v>
      </c>
      <c r="D7" s="11" t="s">
        <v>80</v>
      </c>
      <c r="E7" s="3">
        <f>LEN(D7)</f>
        <v>119</v>
      </c>
      <c r="F7" s="2" t="s">
        <v>27</v>
      </c>
      <c r="G7" s="6">
        <v>92647</v>
      </c>
      <c r="H7" s="12" t="s">
        <v>81</v>
      </c>
      <c r="I7" s="2" t="s">
        <v>82</v>
      </c>
      <c r="J7" s="3" t="s">
        <v>78</v>
      </c>
      <c r="K7" s="10">
        <v>45292</v>
      </c>
      <c r="L7" s="10">
        <v>410534</v>
      </c>
      <c r="M7" s="3" t="s">
        <v>29</v>
      </c>
      <c r="N7" s="3" t="s">
        <v>30</v>
      </c>
      <c r="O7" s="2" t="str">
        <f>I7</f>
        <v>Huntington - Lake</v>
      </c>
      <c r="P7" s="2" t="s">
        <v>28</v>
      </c>
      <c r="Q7" s="2" t="str">
        <f>N7</f>
        <v>Lakes</v>
      </c>
    </row>
    <row r="8" spans="1:17" s="9" customFormat="1" ht="79.5" customHeight="1" x14ac:dyDescent="0.4">
      <c r="A8" s="3" t="s">
        <v>22</v>
      </c>
      <c r="B8" s="3" t="s">
        <v>71</v>
      </c>
      <c r="C8" s="11" t="s">
        <v>72</v>
      </c>
      <c r="D8" s="11" t="s">
        <v>73</v>
      </c>
      <c r="E8" s="3">
        <f>LEN(D8)</f>
        <v>134</v>
      </c>
      <c r="F8" s="2" t="s">
        <v>27</v>
      </c>
      <c r="G8" s="6">
        <v>92604</v>
      </c>
      <c r="H8" s="12" t="s">
        <v>68</v>
      </c>
      <c r="I8" s="2" t="s">
        <v>69</v>
      </c>
      <c r="J8" s="3" t="s">
        <v>70</v>
      </c>
      <c r="K8" s="10">
        <v>45292</v>
      </c>
      <c r="L8" s="10">
        <v>410534</v>
      </c>
      <c r="M8" s="3" t="s">
        <v>29</v>
      </c>
      <c r="N8" s="3" t="s">
        <v>30</v>
      </c>
      <c r="O8" s="2" t="str">
        <f>I8</f>
        <v>Irvine - North</v>
      </c>
      <c r="P8" s="2" t="s">
        <v>28</v>
      </c>
      <c r="Q8" s="2" t="str">
        <f>N8</f>
        <v>Lakes</v>
      </c>
    </row>
    <row r="9" spans="1:17" s="9" customFormat="1" ht="98" customHeight="1" x14ac:dyDescent="0.4">
      <c r="A9" s="13" t="s">
        <v>48</v>
      </c>
      <c r="B9" s="3" t="s">
        <v>103</v>
      </c>
      <c r="C9" s="11" t="s">
        <v>86</v>
      </c>
      <c r="D9" s="11" t="s">
        <v>87</v>
      </c>
      <c r="E9" s="3">
        <f>LEN(D9)</f>
        <v>156</v>
      </c>
      <c r="F9" s="2" t="s">
        <v>27</v>
      </c>
      <c r="G9" s="6">
        <v>92614</v>
      </c>
      <c r="H9" s="12" t="s">
        <v>83</v>
      </c>
      <c r="I9" s="2" t="s">
        <v>84</v>
      </c>
      <c r="J9" s="3" t="s">
        <v>85</v>
      </c>
      <c r="K9" s="10">
        <v>45292</v>
      </c>
      <c r="L9" s="10">
        <v>410534</v>
      </c>
      <c r="M9" s="3" t="s">
        <v>29</v>
      </c>
      <c r="N9" s="3" t="s">
        <v>30</v>
      </c>
      <c r="O9" s="13" t="str">
        <f>I9</f>
        <v>Irvine - Woodridge</v>
      </c>
      <c r="P9" s="2" t="s">
        <v>28</v>
      </c>
      <c r="Q9" s="2" t="str">
        <f>N9</f>
        <v>Lakes</v>
      </c>
    </row>
    <row r="10" spans="1:17" s="9" customFormat="1" ht="66.5" customHeight="1" x14ac:dyDescent="0.4">
      <c r="A10" s="3" t="s">
        <v>23</v>
      </c>
      <c r="B10" s="3" t="s">
        <v>26</v>
      </c>
      <c r="C10" s="11" t="s">
        <v>74</v>
      </c>
      <c r="D10" s="11" t="s">
        <v>77</v>
      </c>
      <c r="E10" s="3">
        <f>LEN(D10)</f>
        <v>148</v>
      </c>
      <c r="F10" s="2" t="s">
        <v>27</v>
      </c>
      <c r="G10" s="6">
        <v>92677</v>
      </c>
      <c r="H10" s="12" t="s">
        <v>75</v>
      </c>
      <c r="I10" s="2" t="s">
        <v>25</v>
      </c>
      <c r="J10" s="3" t="s">
        <v>76</v>
      </c>
      <c r="K10" s="10">
        <v>45292</v>
      </c>
      <c r="L10" s="10">
        <v>410534</v>
      </c>
      <c r="M10" s="3" t="s">
        <v>29</v>
      </c>
      <c r="N10" s="3" t="s">
        <v>30</v>
      </c>
      <c r="O10" s="2" t="str">
        <f>I10</f>
        <v>Laguna - Lake</v>
      </c>
      <c r="P10" s="2" t="s">
        <v>28</v>
      </c>
      <c r="Q10" s="2" t="str">
        <f>N10</f>
        <v>Lakes</v>
      </c>
    </row>
    <row r="11" spans="1:17" s="9" customFormat="1" ht="105.5" customHeight="1" x14ac:dyDescent="0.4">
      <c r="A11" s="3" t="s">
        <v>20</v>
      </c>
      <c r="B11" s="3" t="s">
        <v>59</v>
      </c>
      <c r="C11" s="11" t="s">
        <v>60</v>
      </c>
      <c r="D11" s="11" t="s">
        <v>61</v>
      </c>
      <c r="E11" s="3">
        <f>LEN(D11)</f>
        <v>158</v>
      </c>
      <c r="F11" s="2" t="s">
        <v>27</v>
      </c>
      <c r="G11" s="6">
        <v>92692</v>
      </c>
      <c r="H11" s="12" t="s">
        <v>56</v>
      </c>
      <c r="I11" s="2" t="s">
        <v>58</v>
      </c>
      <c r="J11" s="3" t="s">
        <v>57</v>
      </c>
      <c r="K11" s="10">
        <v>45292</v>
      </c>
      <c r="L11" s="10">
        <v>410534</v>
      </c>
      <c r="M11" s="3" t="s">
        <v>29</v>
      </c>
      <c r="N11" s="3" t="s">
        <v>30</v>
      </c>
      <c r="O11" s="2" t="str">
        <f>I11</f>
        <v>Mission - Lake</v>
      </c>
      <c r="P11" s="2" t="s">
        <v>28</v>
      </c>
      <c r="Q11" s="2" t="str">
        <f>N11</f>
        <v>Lakes</v>
      </c>
    </row>
    <row r="12" spans="1:17" s="9" customFormat="1" ht="84" customHeight="1" x14ac:dyDescent="0.4">
      <c r="A12" s="13" t="s">
        <v>50</v>
      </c>
      <c r="B12" s="13" t="s">
        <v>96</v>
      </c>
      <c r="C12" s="11" t="s">
        <v>104</v>
      </c>
      <c r="D12" s="11" t="s">
        <v>105</v>
      </c>
      <c r="E12" s="3">
        <f>LEN(D12)</f>
        <v>153</v>
      </c>
      <c r="F12" s="2" t="s">
        <v>27</v>
      </c>
      <c r="G12" s="6">
        <v>92865</v>
      </c>
      <c r="H12" s="12" t="s">
        <v>94</v>
      </c>
      <c r="I12" s="2" t="s">
        <v>95</v>
      </c>
      <c r="J12" s="3" t="s">
        <v>93</v>
      </c>
      <c r="K12" s="10">
        <v>45292</v>
      </c>
      <c r="L12" s="10">
        <v>410534</v>
      </c>
      <c r="M12" s="3" t="s">
        <v>29</v>
      </c>
      <c r="N12" s="3" t="s">
        <v>30</v>
      </c>
      <c r="O12" s="13" t="str">
        <f>I12</f>
        <v>Orange - Eisenhower</v>
      </c>
      <c r="P12" s="2" t="s">
        <v>28</v>
      </c>
      <c r="Q12" s="2" t="str">
        <f>N12</f>
        <v>Lakes</v>
      </c>
    </row>
    <row r="13" spans="1:17" s="9" customFormat="1" ht="134.5" customHeight="1" x14ac:dyDescent="0.4">
      <c r="A13" s="3" t="s">
        <v>17</v>
      </c>
      <c r="B13" s="3" t="s">
        <v>37</v>
      </c>
      <c r="C13" s="11" t="s">
        <v>109</v>
      </c>
      <c r="D13" s="11" t="s">
        <v>41</v>
      </c>
      <c r="E13" s="3">
        <f>LEN(D13)</f>
        <v>144</v>
      </c>
      <c r="F13" s="2" t="s">
        <v>27</v>
      </c>
      <c r="G13" s="6">
        <v>92688</v>
      </c>
      <c r="H13" s="12" t="s">
        <v>39</v>
      </c>
      <c r="I13" s="2" t="s">
        <v>40</v>
      </c>
      <c r="J13" s="3" t="s">
        <v>38</v>
      </c>
      <c r="K13" s="10">
        <v>45292</v>
      </c>
      <c r="L13" s="10">
        <v>410534</v>
      </c>
      <c r="M13" s="3" t="s">
        <v>29</v>
      </c>
      <c r="N13" s="3" t="s">
        <v>30</v>
      </c>
      <c r="O13" s="2" t="str">
        <f>I13</f>
        <v>Rancho - Lake</v>
      </c>
      <c r="P13" s="2" t="s">
        <v>28</v>
      </c>
      <c r="Q13" s="2" t="str">
        <f>N13</f>
        <v>Lakes</v>
      </c>
    </row>
    <row r="14" spans="1:17" s="9" customFormat="1" ht="77.5" customHeight="1" x14ac:dyDescent="0.4">
      <c r="A14" s="3" t="s">
        <v>16</v>
      </c>
      <c r="B14" s="3" t="s">
        <v>33</v>
      </c>
      <c r="C14" s="11" t="s">
        <v>34</v>
      </c>
      <c r="D14" s="11" t="s">
        <v>35</v>
      </c>
      <c r="E14" s="3">
        <f>LEN(D14)</f>
        <v>151</v>
      </c>
      <c r="F14" s="2" t="s">
        <v>27</v>
      </c>
      <c r="G14" s="6">
        <v>92676</v>
      </c>
      <c r="H14" s="12" t="s">
        <v>32</v>
      </c>
      <c r="I14" s="2" t="s">
        <v>36</v>
      </c>
      <c r="J14" s="3" t="s">
        <v>31</v>
      </c>
      <c r="K14" s="10">
        <v>45292</v>
      </c>
      <c r="L14" s="10">
        <v>410534</v>
      </c>
      <c r="M14" s="3" t="s">
        <v>29</v>
      </c>
      <c r="N14" s="3" t="s">
        <v>30</v>
      </c>
      <c r="O14" s="2" t="str">
        <f>I14</f>
        <v>Silverado - Irvine</v>
      </c>
      <c r="P14" s="2" t="s">
        <v>28</v>
      </c>
      <c r="Q14" s="2" t="str">
        <f>N14</f>
        <v>Lakes</v>
      </c>
    </row>
    <row r="15" spans="1:17" s="9" customFormat="1" ht="18.5" customHeight="1" x14ac:dyDescent="0.35">
      <c r="A15" s="13"/>
      <c r="B15" s="13"/>
      <c r="C15" s="13"/>
      <c r="D15" s="13"/>
      <c r="E15" s="13"/>
      <c r="F15" s="13"/>
      <c r="G15" s="13"/>
      <c r="H15" s="13"/>
      <c r="I15" s="13"/>
      <c r="J15" s="13"/>
      <c r="K15" s="13"/>
      <c r="L15" s="13"/>
      <c r="M15" s="13"/>
      <c r="N15" s="13"/>
      <c r="O15" s="13"/>
      <c r="P15" s="13"/>
      <c r="Q15" s="13"/>
    </row>
    <row r="16" spans="1:17" ht="18.5" customHeight="1" x14ac:dyDescent="0.35"/>
    <row r="17" ht="18.5" customHeight="1" x14ac:dyDescent="0.35"/>
  </sheetData>
  <autoFilter ref="A1:Q11" xr:uid="{63DA3E44-3605-449C-AE11-8D4FB01A0BBE}">
    <sortState xmlns:xlrd2="http://schemas.microsoft.com/office/spreadsheetml/2017/richdata2" ref="A2:Q14">
      <sortCondition ref="I1:I11"/>
    </sortState>
  </autoFilter>
  <hyperlinks>
    <hyperlink ref="H12" r:id="rId1" tooltip="2864 N Tustin_x000a_Orange, CA 92865" display="http://www.google.com/maps?f=l&amp;hl=en&amp;q=2864+N+Tustin%2c+Orange%2c+CA+92865" xr:uid="{5E2DC272-DCFD-4F77-99E1-D93AD558B05F}"/>
  </hyperlinks>
  <pageMargins left="0.25" right="0.25" top="0.75" bottom="0.75" header="0.3" footer="0.3"/>
  <pageSetup scale="85"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Lakes</vt:lpstr>
      <vt:lpstr>Lakes!Print_Area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2024-07-26T04:58:39Z</dcterms:modified>
</cp:coreProperties>
</file>