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734" documentId="8_{B3A5BE03-68BE-4B4D-B1DC-0C8A0015D117}" xr6:coauthVersionLast="47" xr6:coauthVersionMax="47" xr10:uidLastSave="{F7B71DEA-8A97-40D5-B63C-60BBF95F5C6B}"/>
  <bookViews>
    <workbookView xWindow="-110" yWindow="-110" windowWidth="19420" windowHeight="11500" xr2:uid="{3F4AF157-4EA4-44F9-9369-4ED39BF1C451}"/>
  </bookViews>
  <sheets>
    <sheet name="Fairs" sheetId="2" r:id="rId1"/>
  </sheets>
  <definedNames>
    <definedName name="_xlnm._FilterDatabase" localSheetId="0" hidden="1">Fairs!$A$1:$Q$3</definedName>
    <definedName name="_xlnm.Print_Area" localSheetId="0">Fairs!$A$1:$B$3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2" l="1"/>
  <c r="Q18" i="2"/>
  <c r="Q22" i="2"/>
  <c r="Q3" i="2"/>
  <c r="Q25" i="2"/>
  <c r="Q2" i="2"/>
  <c r="Q21" i="2"/>
  <c r="Q24" i="2"/>
  <c r="Q13" i="2"/>
  <c r="Q26" i="2"/>
  <c r="Q8" i="2"/>
  <c r="Q19" i="2"/>
  <c r="Q4" i="2"/>
  <c r="Q32" i="2"/>
  <c r="Q16" i="2"/>
  <c r="Q11" i="2"/>
  <c r="Q31" i="2"/>
  <c r="Q9" i="2"/>
  <c r="Q28" i="2"/>
  <c r="Q15" i="2"/>
  <c r="Q20" i="2"/>
  <c r="O20" i="2"/>
  <c r="O18" i="2"/>
  <c r="O17" i="2"/>
  <c r="O12" i="2"/>
  <c r="O27" i="2"/>
  <c r="O6" i="2"/>
  <c r="O22" i="2"/>
  <c r="O3" i="2"/>
  <c r="O25" i="2"/>
  <c r="O2" i="2"/>
  <c r="O21" i="2"/>
  <c r="O24" i="2"/>
  <c r="O13" i="2"/>
  <c r="O7" i="2"/>
  <c r="O5" i="2"/>
  <c r="O26" i="2"/>
  <c r="O8" i="2"/>
  <c r="O19" i="2"/>
  <c r="O4" i="2"/>
  <c r="O32" i="2"/>
  <c r="O16" i="2"/>
  <c r="O11" i="2"/>
  <c r="O23" i="2"/>
  <c r="O10" i="2"/>
  <c r="O29" i="2"/>
  <c r="O30" i="2"/>
  <c r="O31" i="2"/>
  <c r="O9" i="2"/>
  <c r="O28" i="2"/>
  <c r="O15" i="2"/>
  <c r="Q17" i="2"/>
  <c r="Q12" i="2"/>
  <c r="Q27" i="2"/>
  <c r="Q6" i="2"/>
  <c r="Q14" i="2"/>
  <c r="Q7" i="2"/>
  <c r="Q5" i="2"/>
  <c r="Q23" i="2"/>
  <c r="Q10" i="2"/>
  <c r="Q29" i="2"/>
  <c r="Q30" i="2"/>
  <c r="E20" i="2"/>
  <c r="E18" i="2"/>
  <c r="E17" i="2"/>
  <c r="E12" i="2"/>
  <c r="E27" i="2"/>
  <c r="E6" i="2"/>
  <c r="E22" i="2"/>
  <c r="E3" i="2"/>
  <c r="E25" i="2"/>
  <c r="E2" i="2"/>
  <c r="E21" i="2"/>
  <c r="E24" i="2"/>
  <c r="E13" i="2"/>
  <c r="E14" i="2"/>
  <c r="E7" i="2"/>
  <c r="E5" i="2"/>
  <c r="E26" i="2"/>
  <c r="E8" i="2"/>
  <c r="E19" i="2"/>
  <c r="E4" i="2"/>
  <c r="E32" i="2"/>
  <c r="E16" i="2"/>
  <c r="E11" i="2"/>
  <c r="E23" i="2"/>
  <c r="E10" i="2"/>
  <c r="E29" i="2"/>
  <c r="E30" i="2"/>
  <c r="E31" i="2"/>
  <c r="E9" i="2"/>
  <c r="E28" i="2"/>
  <c r="E15" i="2"/>
</calcChain>
</file>

<file path=xl/sharedStrings.xml><?xml version="1.0" encoding="utf-8"?>
<sst xmlns="http://schemas.openxmlformats.org/spreadsheetml/2006/main" count="357" uniqueCount="211">
  <si>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</si>
  <si>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</si>
  <si>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</si>
  <si>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</si>
  <si>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</si>
  <si>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</si>
  <si>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</si>
  <si>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</si>
  <si>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</si>
  <si>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</si>
  <si>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</si>
  <si>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</si>
  <si>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</si>
  <si>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</si>
  <si>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</si>
  <si>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</si>
  <si>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Family</t>
  </si>
  <si>
    <t>Date</t>
  </si>
  <si>
    <t>Family, date, group</t>
  </si>
  <si>
    <t>Group</t>
  </si>
  <si>
    <t>Orange County Fair</t>
  </si>
  <si>
    <t>Ohana Festival</t>
  </si>
  <si>
    <t>Orange County Japan Fair</t>
  </si>
  <si>
    <t>Laguna Art Fair</t>
  </si>
  <si>
    <t>Sawdust Festival</t>
  </si>
  <si>
    <t>Festival of Arts Fine Art show</t>
  </si>
  <si>
    <t>Pagaent of the Masters</t>
  </si>
  <si>
    <t>Brea Festival</t>
  </si>
  <si>
    <t>San Clemente Music Festival</t>
  </si>
  <si>
    <t>BBQ Music Festival</t>
  </si>
  <si>
    <t>International Street Fair</t>
  </si>
  <si>
    <t>Rocktober Festival</t>
  </si>
  <si>
    <t>Lobster Festival</t>
  </si>
  <si>
    <t>Maritime Festival</t>
  </si>
  <si>
    <t>Fiestas Patrias</t>
  </si>
  <si>
    <t>Fall Festival</t>
  </si>
  <si>
    <t>San Juan Capistrano Greek Festival</t>
  </si>
  <si>
    <t>Halloween Events</t>
  </si>
  <si>
    <t>Orange County Children's Book Festival</t>
  </si>
  <si>
    <t>Cypress Community Festival</t>
  </si>
  <si>
    <t>Tiller Days</t>
  </si>
  <si>
    <t>Newport Film Festival</t>
  </si>
  <si>
    <t>La Habra CornFest</t>
  </si>
  <si>
    <t>Placentia Heritage</t>
  </si>
  <si>
    <t>Irvine Global Village Festival</t>
  </si>
  <si>
    <t>Annual Silverado Country Fair Festival</t>
  </si>
  <si>
    <t>Silverado Days</t>
  </si>
  <si>
    <t>St. Marin's Lantern Fest &amp; Parade</t>
  </si>
  <si>
    <t>Holiday Events</t>
  </si>
  <si>
    <t>Sawdust Winter Fantasy</t>
  </si>
  <si>
    <t>Newport Beach Christmas Boat Parade</t>
  </si>
  <si>
    <t>https://www.ohanafest.com/</t>
  </si>
  <si>
    <t>Ohana</t>
  </si>
  <si>
    <t xml:space="preserve">25300 Dana Point Harbor Dr, Dana Point, CA </t>
  </si>
  <si>
    <t>Fair &amp; Festivals</t>
  </si>
  <si>
    <t>Festival</t>
  </si>
  <si>
    <t>Family, date, group, solo</t>
  </si>
  <si>
    <t>https://ocfair.com/oc-fair/</t>
  </si>
  <si>
    <t>Orange county fair</t>
  </si>
  <si>
    <t xml:space="preserve">88 Fair Drive - Costa Mesa, CA </t>
  </si>
  <si>
    <t>The OC Fair &amp; Event Center is a 150-acre event venue in Costa Mesa, California. The site hosts over 150 events attracting 4.3 million visitors annually, and is home to the Orange County Fair, Centennial Farm, Costa Mesa Speedway, and Pacific Amphitheatre.</t>
  </si>
  <si>
    <t>The OC Fair &amp; Event Center is a 150-acre event venue in Costa Mesa, California. The site hosts over 150 events.</t>
  </si>
  <si>
    <t>Ohana Fest</t>
  </si>
  <si>
    <r>
      <t>Held at Doheny State Beach, the Ohana Fest is </t>
    </r>
    <r>
      <rPr>
        <sz val="8"/>
        <color rgb="FF040C28"/>
        <rFont val="Times New Roman"/>
        <family val="1"/>
      </rPr>
      <t>one of the top music festivals in the United States</t>
    </r>
    <r>
      <rPr>
        <sz val="8"/>
        <color rgb="FF1F1F1F"/>
        <rFont val="Times New Roman"/>
        <family val="1"/>
      </rPr>
      <t>, drawing fans of rock, roots and storytelling from across the nation.</t>
    </r>
  </si>
  <si>
    <r>
      <t>Held at Doheny State Beach, the Ohana Fest is </t>
    </r>
    <r>
      <rPr>
        <sz val="8"/>
        <color rgb="FF040C28"/>
        <rFont val="Times New Roman"/>
        <family val="1"/>
      </rPr>
      <t xml:space="preserve">one of the top music festivals in the US, </t>
    </r>
    <r>
      <rPr>
        <sz val="8"/>
        <color rgb="FF1F1F1F"/>
        <rFont val="Times New Roman"/>
        <family val="1"/>
      </rPr>
      <t xml:space="preserve"> drawing fans of rock, roots and storytelling from across the nation.</t>
    </r>
  </si>
  <si>
    <r>
      <t>Enjoy the experience of tasting, shopping, and learning about Japanese culture</t>
    </r>
    <r>
      <rPr>
        <sz val="8"/>
        <color rgb="FF1F1F1F"/>
        <rFont val="Times New Roman"/>
        <family val="1"/>
      </rPr>
      <t>. There will also be a cosplay show, tuna cutting show, popular Japanese artists/comedians performances, traditional instrument performances, games, kimono models meet and greet, and more!!</t>
    </r>
  </si>
  <si>
    <r>
      <t>Enjoy the experience of tasting, shopping, and learning about Japanese culture</t>
    </r>
    <r>
      <rPr>
        <sz val="8"/>
        <color rgb="FF1F1F1F"/>
        <rFont val="Times New Roman"/>
        <family val="1"/>
      </rPr>
      <t xml:space="preserve">. </t>
    </r>
  </si>
  <si>
    <t xml:space="preserve">88 Fair Dr, Costa Mesa, CA </t>
  </si>
  <si>
    <t>https://www.oc-japanfair.com/#info</t>
  </si>
  <si>
    <t>OC Japan Fair</t>
  </si>
  <si>
    <t>OC japan</t>
  </si>
  <si>
    <t xml:space="preserve">777 Laguna Canyon Rd, Laguna Beach, CA </t>
  </si>
  <si>
    <t>https://www.art-a-fair.com/</t>
  </si>
  <si>
    <t>Laguna Art A Fair invites you to immerse yourself in a festival experience that knows no bounds or limits. What truly distinguishes us is our unique characteristic of having no residency restrictions, making us a distinct presence in the Laguna Beach festival scene. Through our commitment to breaking down barriers and embracing an open perspective, we create a space where artists and attendees alike can push past traditional boundaries and discover new realms of creativity. Laguna Art A Fair celebrates a world where inclusivity and diversity reign supreme, where art becomes a universal language unconfined by borders.</t>
  </si>
  <si>
    <t xml:space="preserve">Laguna Art A Fair invites you to immerse yourself in a festival experience that knows no bounds or limits. </t>
  </si>
  <si>
    <t>Laguna Art A Fair</t>
  </si>
  <si>
    <t xml:space="preserve">935 Laguna Canyon Rd, Laguna Beach, CA </t>
  </si>
  <si>
    <t>https://sawdustartfestival.org/summer/</t>
  </si>
  <si>
    <t>Site of summer &amp; winter festivals showing crafts like ceramics &amp; sculpture, with year-round classes</t>
  </si>
  <si>
    <r>
      <t>The Festival of Arts is </t>
    </r>
    <r>
      <rPr>
        <sz val="8"/>
        <color rgb="FF040C28"/>
        <rFont val="Times New Roman"/>
        <family val="1"/>
      </rPr>
      <t>a seasonal art festival in Laguna Beach, California, United States</t>
    </r>
    <r>
      <rPr>
        <sz val="8"/>
        <color rgb="FF1F1F1F"/>
        <rFont val="Times New Roman"/>
        <family val="1"/>
      </rPr>
      <t>. The festival, which occurs annually in the summer, is home to a collection of booths operated by local painters, sculptors, photographers, and other artists.</t>
    </r>
  </si>
  <si>
    <t xml:space="preserve"> The festival, which occurs annually in the summer, is home to a collection of booths operated by local painters, sculptors, photographers, and other artists.</t>
  </si>
  <si>
    <t>https://www.foapom.com/summer-art-show/</t>
  </si>
  <si>
    <t xml:space="preserve">650 Laguna Canyon Rd, Laguna Beach, CA </t>
  </si>
  <si>
    <t>https://www.foapom.com/pageant-of-the-masters/</t>
  </si>
  <si>
    <t>Pageant</t>
  </si>
  <si>
    <t>The Pageant of the Masters is the Festival of Arts’ crowning jewel and arguably one of the most unique productions in the entire world.</t>
  </si>
  <si>
    <t>Pageant of the Masters</t>
  </si>
  <si>
    <t>https://www.ci.brea.ca.us/</t>
  </si>
  <si>
    <t>Brea</t>
  </si>
  <si>
    <t>Brea Fest is one of our most anticipated events of the year! Join us as we celebrate all the goodness that Brea has to offer! Indulge in delicious food, refreshing beverages, and diverse art. Friday, August 9th 2024 6:30-10:00 p.m.</t>
  </si>
  <si>
    <t xml:space="preserve">Brea Fest is one of our most anticipated events of the year! Indulge in delicious food, refreshing beverages, and diverse art. </t>
  </si>
  <si>
    <t>1 Civic Center Circle, Brea, CA</t>
  </si>
  <si>
    <t>Brea Fest</t>
  </si>
  <si>
    <t>https://business.scchamber.com/events/details/2024-fiesta-music-festival-69th-annual-16623</t>
  </si>
  <si>
    <t>San clemente</t>
  </si>
  <si>
    <t xml:space="preserve">100 &amp; 200 Blocks of Avenida Del Mar San Clemente, CA </t>
  </si>
  <si>
    <t>The 69th annual Fiesta Music Festival takes place in downtown San Clemente in Avenida Del Mar. There are three stages playing continuous music along with arts and crafts exhibits and a kids zone filled with fun activities.</t>
  </si>
  <si>
    <t>The Fiesta Music Festival has three stages playing continuous music along with arts and crafts exhibits and a kids zone filled with fun activities.</t>
  </si>
  <si>
    <t>San Clemente Fiesta Music Festival</t>
  </si>
  <si>
    <t>16400 Brookhurst St, Fountain Valley, CA</t>
  </si>
  <si>
    <t>BBQ</t>
  </si>
  <si>
    <t>https://www.bbqmusicfest.com/</t>
  </si>
  <si>
    <t>It's a three-day BBQ extravaganza featuring live entertainment from local bands, a smokin’ food court (including non-BBQ related items), DJ and dance lessons, cantinas, local artisans, carnival rides and games, a children's area with magic shows and balloon twisting (Sat. and Sun.). Taste and experience firsthand the fiery chicken, pulled pork, tri-tip, pork ribs, sausages... and sides (all available for purchase) that makes barbecue so popular in the USA — all while you enjoy taking an E-picture at the free souvenir photo booth, catch a game at the live sports tent, sing along to all your favorite songs at the karaoke lounge with a live band (Fri. &amp; Sat. night), treat yourself to a first-class tequila/whiskey tasting experience by El Baston del Rey (Voted #1) and more.</t>
  </si>
  <si>
    <t xml:space="preserve">It's a three-day BBQ extravaganza featuring live entertainment from local bands, a smokin’ food court (including non-BBQ related items). </t>
  </si>
  <si>
    <t>https://www.orangestreetfair.org/</t>
  </si>
  <si>
    <t>Orange International Street Fair</t>
  </si>
  <si>
    <t xml:space="preserve">112 E Chapman Ave, Orange, CA </t>
  </si>
  <si>
    <t xml:space="preserve">The Orange International Street Fair, Inc. was formed to produce the annual Orange International Street Fair (OISF) event held in Old Town Orange, CA. </t>
  </si>
  <si>
    <t>The Orange International Street Fair, Inc. was formed to produce the annual Orange International Street Fair (OISF) event held in Old Town Orange, CA. OISF is a diversified event featuring: 15 ethnic streets with 42 food and alcohol booths. Food and alcohol booths are run by local non-profits with all proceeds going directly back to them.
Handmade Arts and Crafts section featuring local artists and their crafts.Community Booth section showcasing local non-profits and the causes they support.
Commercial Section featuring local companies promoting their businesses. A street dedicated to kids with crafts and games.
7 Stages of entertainment featuring local bands playing ethnic music and your favorite songs.</t>
  </si>
  <si>
    <t>https://www.oldworldhb.com/rocktoberfest/</t>
  </si>
  <si>
    <t>Rock</t>
  </si>
  <si>
    <t>Rock out in our massive 10,000 sq. ft. open-air Biergarten and ginormous Festival Concert Hall. Enjoy live bands, DJs &amp; delicious food. Set against the vibrant backdrop of the iconic Old World Village, Rocktoberfest is set to deliver unparalleled live entertainment, mouthwatering cuisine &amp; drink, and an atmosphere of pure celebration.</t>
  </si>
  <si>
    <t>Rocktoberfest is set to deliver unparalleled live entertainment, mouthwatering cuisine &amp; drink, and an atmosphere of pure celebration.</t>
  </si>
  <si>
    <t xml:space="preserve">16400 Brookhurst Street Fountain Valley, CA </t>
  </si>
  <si>
    <t>92708 </t>
  </si>
  <si>
    <t>Lobster</t>
  </si>
  <si>
    <t>Fresh Live Maine Lobsters flown in daily prepared to mouth-watering perfection in the World’s Largest Steamers. You can find all things lobster from lobster rolls to lobster mac and lobster fries, lobster bisque, and even lobster beignets!</t>
  </si>
  <si>
    <t xml:space="preserve"> You can find all things lobster from lobster rolls to lobster mac and lobster fries, lobster bisque, and even lobster beignets!</t>
  </si>
  <si>
    <t>https://www.originallobsterfestival.com/</t>
  </si>
  <si>
    <t>The largest annual gathering of tallships on the West Coast, this festival features a spectacular array of family-fun activities including live music, art shows and a variety of tasty food. Interactive living-history encampments including blacksmiths, scrimshaw artists, and the infamous Port Royal Privateers are sure to entertain and amaze guests of all ages and are not to be missed. Additionally, you can explore the historic tallships and listen to the crew share tails of adventure and life at sea.</t>
  </si>
  <si>
    <t xml:space="preserve">The largest annual gathering of tallships on the West Coast, this festival features a spectacular array of family-fun activities including live music, art shows and a variety of tasty food. </t>
  </si>
  <si>
    <t>https://maritime-fest.org/</t>
  </si>
  <si>
    <t>Maritime</t>
  </si>
  <si>
    <t>24200 Dana Point Harbor Dr, Dana Point, CA</t>
  </si>
  <si>
    <t>This annual tradition celebrates Santa Ana‟s vibrant Mexican culture with a parade, performers each night, delicious food, affor dable shopping, interactive activities, and exciting carnival rides for children of all ages</t>
  </si>
  <si>
    <t>This festival celebrates the Mexican culture with a parade, performers, food, shopping, interactive activities &amp; carnival rides for children of all ages</t>
  </si>
  <si>
    <t>https://www.santa-ana.org/fiestas-patrias/</t>
  </si>
  <si>
    <t>Fiestas</t>
  </si>
  <si>
    <t>Santa Ana Boulevard in Santa Ana, CA</t>
  </si>
  <si>
    <t>8200 Westminster Blvd. Westminster, CA</t>
  </si>
  <si>
    <t>The Fall Festival is an event will feature live entertainment, delicious food, vendors, activities for the entire family and much more!</t>
  </si>
  <si>
    <t>Fall</t>
  </si>
  <si>
    <t>https://www.westminster-ca.gov/Home/Components/News/News/525/15</t>
  </si>
  <si>
    <t>The San Juan Capistrano Greek Festival - Be Greek for the day! Enjoy authentic Greek food and pastries, live Greek music and dancing, shopping at the Greek bazaar, kid friendly activities and exhibits featuring Byzantine icons and traditional Greek costumes.</t>
  </si>
  <si>
    <t>Enjoy authentic Greek food and pastries, live Greek music and dancing, shopping at the Greek bazaar, kid friendly activities.</t>
  </si>
  <si>
    <t>San juan</t>
  </si>
  <si>
    <t>https://www.sjcgreekfest.com/</t>
  </si>
  <si>
    <t>https://www.orangecounty.net/html/Weekend_halloween.html</t>
  </si>
  <si>
    <t>Halloween Events by City</t>
  </si>
  <si>
    <t>Halloween</t>
  </si>
  <si>
    <t>Haunted Houses, parades, carnivals and much more!</t>
  </si>
  <si>
    <t>2701 Fairview Rd, Costa Mesa, CA</t>
  </si>
  <si>
    <t>25925 Camino Del Avion, San Juan Capistrano, CA</t>
  </si>
  <si>
    <t>7561 Center Ave, Huntington Beach, CA</t>
  </si>
  <si>
    <t>Orange county child</t>
  </si>
  <si>
    <t>The Orange County Children’s Book Festival is designed specifically for children of all ages. This family-fun festival attracts more than 20,000 visitors who will be entertained and delighted by authors, illustrators, booksellers, animals, storytellers, costumed characters, train rides, crafts, food and entertainment and much, much more.</t>
  </si>
  <si>
    <t>OC Children’s Book Festival is for children of all ages. Be entertained by authors, booksellers, animals, storytellers, costumed characters, train rides &amp; food.</t>
  </si>
  <si>
    <t>https://www.kidsbookfestival.com/</t>
  </si>
  <si>
    <t>5700 Orange Ave, Cypress, CA</t>
  </si>
  <si>
    <t>Cypress</t>
  </si>
  <si>
    <t>One of the largest one-day festival in Orange County that attracts over 20,000 people annually. Event includes: an early morning 5K/10K run, a delicious pancake breakfast, a car show, chili cook-off, family games, food booths, the Chamber of Commerce business expo, children's rides, arts and crafts booths and four stages with continuous entertainment.</t>
  </si>
  <si>
    <t>Events includes: a delicious pancake breakfast, a car show, chili cook-off, family games, food booths, children's rides, arts and crafts booths and four stages.</t>
  </si>
  <si>
    <t>https://cypressfestival.com/</t>
  </si>
  <si>
    <t>Tustin Tiller Days has been a regular event in Tustin since 1957. The event provides an opportinity for Tustin to celebrate Orange County's agricultural heritage. Features Parade (on Saturday at 10 am), carnival, rides, food and entertainmnet</t>
  </si>
  <si>
    <t>The event provides an opportunity for Tustin to celebrate OC's agricultural heritage. Features Parade, carnival, rides, food and entertainmnet</t>
  </si>
  <si>
    <t>17522 Beneta Way, Tustin, CA</t>
  </si>
  <si>
    <t>Till</t>
  </si>
  <si>
    <t>https://www.tustinca.org/637/Tustin-Tiller-Days</t>
  </si>
  <si>
    <t>Showcasing more than 350 films from around the world, offering an ambitious and international selection of features, shorts, documentaries and animation that will compete for both Jury and Audience awards. During the week of the festival, screenings are held at several venues in the Newport Beach area. With 15 screens showing films each day, our venue partners provide a fantastic viewing experience for all festival-goers.</t>
  </si>
  <si>
    <t>Showcasing more than 350 films from around the world, offering an ambitious &amp; int'l selection of features, shorts, documentaries &amp; animation that will compete.</t>
  </si>
  <si>
    <t>https://newportbeachfilmfest.com/</t>
  </si>
  <si>
    <t xml:space="preserve">2000 Quail St, Newport Beach, CA </t>
  </si>
  <si>
    <t>The festival includes a fall parade and two day carnival at El Centro Park. The Corn Festival Parade is open to most any group that wants to participate. Applications may be obtained at the La Habra Chamber of Commerce or from Pageantry Productions in South Gate. The parade is one of the largest daytime parades in southern California.</t>
  </si>
  <si>
    <t xml:space="preserve">The festival includes a fall parade and two day carnival at El Centro Park. </t>
  </si>
  <si>
    <t>La habra</t>
  </si>
  <si>
    <t>La Habra Blvd between Our Lady of Guadualupe Church and Euclid St. La Habra, CA</t>
  </si>
  <si>
    <t>https://e-clubhouse.org/sites/lahabrahost/page-9.php</t>
  </si>
  <si>
    <t>Since 1965, this celebration of the city's heritage includes a parade and fair booths. The events begins with the Chamber of Commerce pancake breakfast followed by the parade and band review. The festival begins at 10:00 a.m. and features many exciting activities for the entire family including the annual car show, a crafts fair, food booths, kids games and more.</t>
  </si>
  <si>
    <t>The events begins with a pancake breakfast followed by the parade and activities including the annual car show, a crafts fair, food booths, kids games and more.</t>
  </si>
  <si>
    <t>2301 N. Kraemer Blvd, Placentia, CA</t>
  </si>
  <si>
    <t>Placentia</t>
  </si>
  <si>
    <t>Placentia Heritage Festival</t>
  </si>
  <si>
    <t>https://www.placentia.org/357/Heritage-Festival</t>
  </si>
  <si>
    <t>Boasting artistic cultural performances on three stages, the Festival's live entertainment is a mosaic of music and dance representing more than 50 cultures from Europe, Asia, Africa, and North and South America. Immerse yourself in cultural displays, world religion and demonstrations, indulge in international cuisine, explore our world marketplace and keep the little ones in motion with hands-on art projects, games and activities in a giant, interactive Kids Village. Festival admission and parking are free.</t>
  </si>
  <si>
    <t>Boasting artistic cultural performances on three stages, the Festival's live entertainment is a mosaic of music and dance representing more than 50 cultures.</t>
  </si>
  <si>
    <t>https://www.cityofirvine.org/irvine-global-village-festival</t>
  </si>
  <si>
    <t>Irvine</t>
  </si>
  <si>
    <t>1 Civic Center Plaza, 2nd Floor Irvine, CA</t>
  </si>
  <si>
    <t xml:space="preserve">The Annual Silverado Country Fair and Folk Festival is one of the best family events of the season which explores the wonders of the area’s Old West rustic culture, great live Bluegrass, Country and Folk music, Wild West reenactments, handmade arts and crafts, 1800's activities &amp; lock 'em up makeshift jail, tasty food, beer &amp; wine saloon, plus some silly ‘ole timey’ contests, all nestled under the Oak trees below Orange County’s famous Saddleback Mountain. </t>
  </si>
  <si>
    <t>Silverado Country Fair explores the wonders of the area’s Old West rustic culture, great live Bluegrass, music, Wild West reenactments, arts and crafts.</t>
  </si>
  <si>
    <t>27641 Silverado Canyon Rd, Silverado, CA</t>
  </si>
  <si>
    <t>Silverado Country Fair Festival</t>
  </si>
  <si>
    <t>https://silveradocountryfair.org/</t>
  </si>
  <si>
    <t>Held each October, this community festival includes food booths, arts &amp; crafts booths, live music and more! Come dressed in period garb and win a prize! Silly contests daily! Pie, watermelon &amp; corn eatin’ contests, best beard, best dressed 1800’s western &amp; this year’s new hillbilly hippie costume contest!</t>
  </si>
  <si>
    <t>This community festival includes food, arts &amp; crafts booths, music and more! Pie, watermelon &amp; corn eatin’ contests, best beard, best dressed 1800’s western .</t>
  </si>
  <si>
    <t>7225 El Dorado Drive, Buena Park, CA</t>
  </si>
  <si>
    <t>Silverado days</t>
  </si>
  <si>
    <t>https://www.silveradodays.com/cms/</t>
  </si>
  <si>
    <t>St. Martin's Lantern Fest &amp; Parade</t>
  </si>
  <si>
    <t>The St. Martin's Lantern Fest is a beautiful family affair that will mark the start of the festive season and fill everyone with Christmas spirit. It's free and enjoyable for all ages.</t>
  </si>
  <si>
    <t>The St. Martin Lantern Fest is a beautiful family affair that will fill everyone with Christmas spirit. It's free and enjoyable for all ages.</t>
  </si>
  <si>
    <t>7561 Center Ave, #49 Huntington Beach, CA</t>
  </si>
  <si>
    <t>St. Martin</t>
  </si>
  <si>
    <t>https://events.oldworldhb.com/event/st-martin-day-lantern-parade/</t>
  </si>
  <si>
    <t>https://www.orangecounty.net/html/Weekend_winter.html</t>
  </si>
  <si>
    <t>Details of holiday events by city.</t>
  </si>
  <si>
    <t>Holiday</t>
  </si>
  <si>
    <t>This unique fair offers shoppers the opportunity to purchase unique artisan crafts from various local artists. Includes live entertainment, hands-on art projects and picture-perfect moments, the Sawdust Art Festival's Winter Fantasy will become your family's holiday tradition.</t>
  </si>
  <si>
    <t xml:space="preserve"> Includes live entertainment, art projects &amp; picture-perfect moments, the Sawdust Art Festival's Winter Fantasy will become your family's holiday tradition.</t>
  </si>
  <si>
    <t>Sawdust winter</t>
  </si>
  <si>
    <t>FREE to the public. The boat parade will light up the harbor for five consecutive nights from December 14-December 18, 2016. The parade starts at Collins Island at 6:30 p.m. and will last approximately two and a half hours over 250 ships participate in the parade along with hundreds of water front estates. Providing the backdrop for the parade is the Ring of Lights waterfront home and business decorating competition. FREE for spectators, entry fee for participating boats. Over 1 million people view the parade each year.</t>
  </si>
  <si>
    <t xml:space="preserve">The parade starts at Collins Island at 6:30 p.m. &amp; will last approx. 2.5 hours over 250 ships participate in the parade along with water front estates. </t>
  </si>
  <si>
    <t>https://www.christmasboatparade.com/</t>
  </si>
  <si>
    <t>309 Palm - Suite A Newport Beach, CA</t>
  </si>
  <si>
    <t>Holiday Events by City</t>
  </si>
  <si>
    <t>Laguna</t>
  </si>
  <si>
    <t>Newport Film</t>
  </si>
  <si>
    <t>Newport Beach</t>
  </si>
  <si>
    <t>Orange intern</t>
  </si>
  <si>
    <t>Sawdust festival</t>
  </si>
  <si>
    <t>Silverado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</si>
</sst>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color rgb="FF000000"/>
      <name val="Times New Roman"/>
      <family val="1"/>
    </font>
    <font>
      <sz val="8"/>
      <name val="Times New Roman"/>
      <family val="1"/>
    </font>
    <font>
      <sz val="8"/>
      <name val="Aptos Narrow"/>
      <family val="2"/>
      <scheme val="minor"/>
    </font>
    <font>
      <sz val="8"/>
      <color rgb="FF040C28"/>
      <name val="Times New Roman"/>
      <family val="1"/>
    </font>
    <font>
      <sz val="8"/>
      <color rgb="FF1F1F1F"/>
      <name val="Times New Roman"/>
      <family val="1"/>
    </font>
  </fonts>
  <fills count="6">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5" fillId="4" borderId="1" xfId="0" applyFont="1" applyFill="1" applyBorder="1" applyAlignment="1">
      <alignment vertical="center" wrapText="1"/>
    </xf>
    <xf numFmtId="0" fontId="2" fillId="4" borderId="1" xfId="0" applyFont="1" applyFill="1" applyBorder="1" applyAlignment="1">
      <alignment horizontal="left"/>
    </xf>
    <xf numFmtId="0" fontId="4" fillId="4" borderId="1" xfId="0" applyFont="1" applyFill="1" applyBorder="1" applyAlignment="1">
      <alignment wrapText="1"/>
    </xf>
    <xf numFmtId="0" fontId="0" fillId="4" borderId="0" xfId="0" applyFill="1"/>
    <xf numFmtId="0" fontId="2" fillId="4" borderId="2" xfId="0" applyFont="1" applyFill="1" applyBorder="1"/>
    <xf numFmtId="0" fontId="6" fillId="4" borderId="1" xfId="0" applyFont="1" applyFill="1" applyBorder="1" applyAlignment="1">
      <alignment vertical="center" wrapText="1"/>
    </xf>
    <xf numFmtId="0" fontId="0" fillId="4" borderId="1" xfId="0" applyFill="1" applyBorder="1"/>
    <xf numFmtId="0" fontId="0" fillId="0" borderId="1" xfId="0" applyBorder="1"/>
    <xf numFmtId="0" fontId="0" fillId="3" borderId="1" xfId="0" applyFill="1" applyBorder="1"/>
    <xf numFmtId="0" fontId="9" fillId="4" borderId="1" xfId="0" applyFont="1" applyFill="1" applyBorder="1" applyAlignment="1">
      <alignment vertical="center" wrapText="1"/>
    </xf>
    <xf numFmtId="14" fontId="2" fillId="5"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45"/>
  <sheetViews>
    <sheetView tabSelected="1" topLeftCell="H1" zoomScale="80" zoomScaleNormal="80" workbookViewId="0">
      <pane ySplit="1" topLeftCell="A2" activePane="bottomLeft" state="frozen"/>
      <selection pane="bottomLeft" activeCell="H2" sqref="H2"/>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4.4531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1" customFormat="1" ht="177" customHeight="1" x14ac:dyDescent="0.4">
      <c r="A2" s="7" t="s">
        <v>29</v>
      </c>
      <c r="B2" s="7" t="s">
        <v>29</v>
      </c>
      <c r="C2" s="8" t="s">
        <v>102</v>
      </c>
      <c r="D2" s="8" t="s">
        <v>103</v>
      </c>
      <c r="E2" s="7">
        <f t="shared" ref="E2:E32" si="0">LEN(D2)</f>
        <v>137</v>
      </c>
      <c r="F2" s="6" t="s">
        <v>55</v>
      </c>
      <c r="G2" s="9">
        <v>92708</v>
      </c>
      <c r="H2" s="10" t="s">
        <v>99</v>
      </c>
      <c r="I2" s="6" t="s">
        <v>100</v>
      </c>
      <c r="J2" s="7" t="s">
        <v>101</v>
      </c>
      <c r="K2" s="18">
        <v>45519</v>
      </c>
      <c r="L2" s="18">
        <v>45521</v>
      </c>
      <c r="M2" s="7" t="s">
        <v>56</v>
      </c>
      <c r="N2" s="7" t="s">
        <v>54</v>
      </c>
      <c r="O2" s="6" t="str">
        <f t="shared" ref="O2:O32" si="1">I2</f>
        <v>BBQ</v>
      </c>
      <c r="P2" s="6" t="s">
        <v>19</v>
      </c>
      <c r="Q2" s="6" t="str">
        <f t="shared" ref="Q2:Q32" si="2">N2</f>
        <v>Fair &amp; Festivals</v>
      </c>
    </row>
    <row r="3" spans="1:17" s="11" customFormat="1" ht="51.5" customHeight="1" x14ac:dyDescent="0.4">
      <c r="A3" s="7" t="s">
        <v>27</v>
      </c>
      <c r="B3" s="7" t="s">
        <v>92</v>
      </c>
      <c r="C3" s="8" t="s">
        <v>89</v>
      </c>
      <c r="D3" s="8" t="s">
        <v>90</v>
      </c>
      <c r="E3" s="7">
        <f t="shared" si="0"/>
        <v>127</v>
      </c>
      <c r="F3" s="6" t="s">
        <v>55</v>
      </c>
      <c r="G3" s="9">
        <v>92821</v>
      </c>
      <c r="H3" s="10" t="s">
        <v>91</v>
      </c>
      <c r="I3" s="6" t="s">
        <v>88</v>
      </c>
      <c r="J3" s="7" t="s">
        <v>87</v>
      </c>
      <c r="K3" s="18">
        <v>45513</v>
      </c>
      <c r="L3" s="18">
        <v>45514</v>
      </c>
      <c r="M3" s="7" t="s">
        <v>56</v>
      </c>
      <c r="N3" s="7" t="s">
        <v>54</v>
      </c>
      <c r="O3" s="6" t="str">
        <f t="shared" si="1"/>
        <v>Brea</v>
      </c>
      <c r="P3" s="6" t="s">
        <v>16</v>
      </c>
      <c r="Q3" s="6" t="str">
        <f t="shared" si="2"/>
        <v>Fair &amp; Festivals</v>
      </c>
    </row>
    <row r="4" spans="1:17" s="11" customFormat="1" ht="78" customHeight="1" x14ac:dyDescent="0.4">
      <c r="A4" s="7" t="s">
        <v>39</v>
      </c>
      <c r="B4" s="7" t="s">
        <v>39</v>
      </c>
      <c r="C4" s="13" t="s">
        <v>150</v>
      </c>
      <c r="D4" s="13" t="s">
        <v>151</v>
      </c>
      <c r="E4" s="7">
        <f t="shared" si="0"/>
        <v>160</v>
      </c>
      <c r="F4" s="6" t="s">
        <v>55</v>
      </c>
      <c r="G4" s="9">
        <v>90630</v>
      </c>
      <c r="H4" s="10" t="s">
        <v>148</v>
      </c>
      <c r="I4" s="6" t="s">
        <v>149</v>
      </c>
      <c r="J4" s="7" t="s">
        <v>152</v>
      </c>
      <c r="K4" s="18">
        <v>45577</v>
      </c>
      <c r="L4" s="18">
        <v>45577</v>
      </c>
      <c r="M4" s="7" t="s">
        <v>56</v>
      </c>
      <c r="N4" s="7" t="s">
        <v>54</v>
      </c>
      <c r="O4" s="6" t="str">
        <f t="shared" si="1"/>
        <v>Cypress</v>
      </c>
      <c r="P4" s="6" t="s">
        <v>16</v>
      </c>
      <c r="Q4" s="6" t="str">
        <f t="shared" si="2"/>
        <v>Fair &amp; Festivals</v>
      </c>
    </row>
    <row r="5" spans="1:17" s="11" customFormat="1" ht="146" customHeight="1" x14ac:dyDescent="0.4">
      <c r="A5" s="7" t="s">
        <v>35</v>
      </c>
      <c r="B5" s="7" t="s">
        <v>35</v>
      </c>
      <c r="C5" s="13" t="s">
        <v>130</v>
      </c>
      <c r="D5" s="13" t="s">
        <v>130</v>
      </c>
      <c r="E5" s="7">
        <f t="shared" si="0"/>
        <v>135</v>
      </c>
      <c r="F5" s="6" t="s">
        <v>55</v>
      </c>
      <c r="G5" s="9">
        <v>92683</v>
      </c>
      <c r="H5" s="10" t="s">
        <v>129</v>
      </c>
      <c r="I5" s="6" t="s">
        <v>131</v>
      </c>
      <c r="J5" s="7" t="s">
        <v>132</v>
      </c>
      <c r="K5" s="18">
        <v>45561</v>
      </c>
      <c r="L5" s="18">
        <v>45564</v>
      </c>
      <c r="M5" s="7" t="s">
        <v>56</v>
      </c>
      <c r="N5" s="7" t="s">
        <v>54</v>
      </c>
      <c r="O5" s="6" t="str">
        <f t="shared" si="1"/>
        <v>Fall</v>
      </c>
      <c r="P5" s="6" t="s">
        <v>16</v>
      </c>
      <c r="Q5" s="6" t="str">
        <f t="shared" si="2"/>
        <v>Fair &amp; Festivals</v>
      </c>
    </row>
    <row r="6" spans="1:17" s="11" customFormat="1" ht="44.5" customHeight="1" x14ac:dyDescent="0.4">
      <c r="A6" s="7" t="s">
        <v>25</v>
      </c>
      <c r="B6" s="7" t="s">
        <v>25</v>
      </c>
      <c r="C6" s="8" t="s">
        <v>79</v>
      </c>
      <c r="D6" s="17" t="s">
        <v>80</v>
      </c>
      <c r="E6" s="7">
        <f t="shared" si="0"/>
        <v>158</v>
      </c>
      <c r="F6" s="6" t="s">
        <v>55</v>
      </c>
      <c r="G6" s="9">
        <v>92651</v>
      </c>
      <c r="H6" s="10" t="s">
        <v>82</v>
      </c>
      <c r="I6" s="6" t="s">
        <v>55</v>
      </c>
      <c r="J6" s="7" t="s">
        <v>81</v>
      </c>
      <c r="K6" s="18">
        <v>45476</v>
      </c>
      <c r="L6" s="18">
        <v>45534</v>
      </c>
      <c r="M6" s="7" t="s">
        <v>56</v>
      </c>
      <c r="N6" s="7" t="s">
        <v>54</v>
      </c>
      <c r="O6" s="6" t="str">
        <f t="shared" si="1"/>
        <v>Festival</v>
      </c>
      <c r="P6" s="6" t="s">
        <v>17</v>
      </c>
      <c r="Q6" s="6" t="str">
        <f t="shared" si="2"/>
        <v>Fair &amp; Festivals</v>
      </c>
    </row>
    <row r="7" spans="1:17" s="11" customFormat="1" ht="90.5" customHeight="1" x14ac:dyDescent="0.4">
      <c r="A7" s="7" t="s">
        <v>34</v>
      </c>
      <c r="B7" s="7" t="s">
        <v>34</v>
      </c>
      <c r="C7" s="13" t="s">
        <v>124</v>
      </c>
      <c r="D7" s="13" t="s">
        <v>125</v>
      </c>
      <c r="E7" s="7">
        <f t="shared" si="0"/>
        <v>152</v>
      </c>
      <c r="F7" s="6" t="s">
        <v>55</v>
      </c>
      <c r="G7" s="9">
        <v>92701</v>
      </c>
      <c r="H7" s="10" t="s">
        <v>128</v>
      </c>
      <c r="I7" s="6" t="s">
        <v>127</v>
      </c>
      <c r="J7" s="7" t="s">
        <v>126</v>
      </c>
      <c r="K7" s="18">
        <v>45549</v>
      </c>
      <c r="L7" s="18">
        <v>45550</v>
      </c>
      <c r="M7" s="7" t="s">
        <v>56</v>
      </c>
      <c r="N7" s="7" t="s">
        <v>54</v>
      </c>
      <c r="O7" s="6" t="str">
        <f t="shared" si="1"/>
        <v>Fiestas</v>
      </c>
      <c r="P7" s="6" t="s">
        <v>16</v>
      </c>
      <c r="Q7" s="6" t="str">
        <f t="shared" si="2"/>
        <v>Fair &amp; Festivals</v>
      </c>
    </row>
    <row r="8" spans="1:17" s="11" customFormat="1" ht="52" customHeight="1" x14ac:dyDescent="0.4">
      <c r="A8" s="7" t="s">
        <v>37</v>
      </c>
      <c r="B8" s="7" t="s">
        <v>138</v>
      </c>
      <c r="C8" s="13" t="s">
        <v>140</v>
      </c>
      <c r="D8" s="13" t="s">
        <v>140</v>
      </c>
      <c r="E8" s="7">
        <f t="shared" si="0"/>
        <v>49</v>
      </c>
      <c r="F8" s="6" t="s">
        <v>55</v>
      </c>
      <c r="G8" s="9"/>
      <c r="H8" s="10"/>
      <c r="I8" s="6" t="s">
        <v>139</v>
      </c>
      <c r="J8" s="7" t="s">
        <v>137</v>
      </c>
      <c r="K8" s="18">
        <v>45580</v>
      </c>
      <c r="L8" s="18">
        <v>45596</v>
      </c>
      <c r="M8" s="7" t="s">
        <v>56</v>
      </c>
      <c r="N8" s="7" t="s">
        <v>54</v>
      </c>
      <c r="O8" s="6" t="str">
        <f t="shared" si="1"/>
        <v>Halloween</v>
      </c>
      <c r="P8" s="12" t="s">
        <v>16</v>
      </c>
      <c r="Q8" s="6" t="str">
        <f t="shared" si="2"/>
        <v>Fair &amp; Festivals</v>
      </c>
    </row>
    <row r="9" spans="1:17" s="11" customFormat="1" ht="53" customHeight="1" x14ac:dyDescent="0.4">
      <c r="A9" s="7" t="s">
        <v>48</v>
      </c>
      <c r="B9" s="7" t="s">
        <v>204</v>
      </c>
      <c r="C9" s="13" t="s">
        <v>195</v>
      </c>
      <c r="D9" s="13" t="s">
        <v>195</v>
      </c>
      <c r="E9" s="7">
        <f t="shared" si="0"/>
        <v>34</v>
      </c>
      <c r="F9" s="6" t="s">
        <v>55</v>
      </c>
      <c r="G9" s="14"/>
      <c r="H9" s="14"/>
      <c r="I9" s="6" t="s">
        <v>196</v>
      </c>
      <c r="J9" s="7" t="s">
        <v>194</v>
      </c>
      <c r="K9" s="18">
        <v>45641</v>
      </c>
      <c r="L9" s="18">
        <v>45657</v>
      </c>
      <c r="M9" s="7" t="s">
        <v>56</v>
      </c>
      <c r="N9" s="7" t="s">
        <v>54</v>
      </c>
      <c r="O9" s="6" t="str">
        <f t="shared" si="1"/>
        <v>Holiday</v>
      </c>
      <c r="P9" s="12" t="s">
        <v>16</v>
      </c>
      <c r="Q9" s="6" t="str">
        <f t="shared" si="2"/>
        <v>Fair &amp; Festivals</v>
      </c>
    </row>
    <row r="10" spans="1:17" s="11" customFormat="1" ht="56" customHeight="1" x14ac:dyDescent="0.4">
      <c r="A10" s="7" t="s">
        <v>44</v>
      </c>
      <c r="B10" s="7" t="s">
        <v>44</v>
      </c>
      <c r="C10" s="13" t="s">
        <v>173</v>
      </c>
      <c r="D10" s="13" t="s">
        <v>174</v>
      </c>
      <c r="E10" s="7">
        <f t="shared" si="0"/>
        <v>157</v>
      </c>
      <c r="F10" s="6" t="s">
        <v>55</v>
      </c>
      <c r="G10" s="9">
        <v>92606</v>
      </c>
      <c r="H10" s="10" t="s">
        <v>177</v>
      </c>
      <c r="I10" s="6" t="s">
        <v>176</v>
      </c>
      <c r="J10" s="7" t="s">
        <v>175</v>
      </c>
      <c r="K10" s="18">
        <v>45570</v>
      </c>
      <c r="L10" s="18">
        <v>45570</v>
      </c>
      <c r="M10" s="7" t="s">
        <v>56</v>
      </c>
      <c r="N10" s="7" t="s">
        <v>54</v>
      </c>
      <c r="O10" s="6" t="str">
        <f t="shared" si="1"/>
        <v>Irvine</v>
      </c>
      <c r="P10" s="12" t="s">
        <v>16</v>
      </c>
      <c r="Q10" s="6" t="str">
        <f t="shared" si="2"/>
        <v>Fair &amp; Festivals</v>
      </c>
    </row>
    <row r="11" spans="1:17" s="11" customFormat="1" ht="173" customHeight="1" x14ac:dyDescent="0.4">
      <c r="A11" s="7" t="s">
        <v>42</v>
      </c>
      <c r="B11" s="7" t="s">
        <v>42</v>
      </c>
      <c r="C11" s="13" t="s">
        <v>162</v>
      </c>
      <c r="D11" s="13" t="s">
        <v>163</v>
      </c>
      <c r="E11" s="7">
        <f t="shared" si="0"/>
        <v>76</v>
      </c>
      <c r="F11" s="6" t="s">
        <v>55</v>
      </c>
      <c r="G11" s="14"/>
      <c r="H11" s="10" t="s">
        <v>165</v>
      </c>
      <c r="I11" s="6" t="s">
        <v>164</v>
      </c>
      <c r="J11" s="7" t="s">
        <v>166</v>
      </c>
      <c r="K11" s="18">
        <v>45576</v>
      </c>
      <c r="L11" s="18">
        <v>45578</v>
      </c>
      <c r="M11" s="7" t="s">
        <v>56</v>
      </c>
      <c r="N11" s="7" t="s">
        <v>54</v>
      </c>
      <c r="O11" s="6" t="str">
        <f t="shared" si="1"/>
        <v>La habra</v>
      </c>
      <c r="P11" s="12" t="s">
        <v>16</v>
      </c>
      <c r="Q11" s="6" t="str">
        <f t="shared" si="2"/>
        <v>Fair &amp; Festivals</v>
      </c>
    </row>
    <row r="12" spans="1:17" s="11" customFormat="1" ht="194" customHeight="1" x14ac:dyDescent="0.4">
      <c r="A12" s="7" t="s">
        <v>23</v>
      </c>
      <c r="B12" s="7" t="s">
        <v>75</v>
      </c>
      <c r="C12" s="8" t="s">
        <v>73</v>
      </c>
      <c r="D12" s="8" t="s">
        <v>74</v>
      </c>
      <c r="E12" s="7">
        <f t="shared" si="0"/>
        <v>107</v>
      </c>
      <c r="F12" s="6" t="s">
        <v>55</v>
      </c>
      <c r="G12" s="9">
        <v>92651</v>
      </c>
      <c r="H12" s="10" t="s">
        <v>71</v>
      </c>
      <c r="I12" s="6" t="s">
        <v>205</v>
      </c>
      <c r="J12" s="7" t="s">
        <v>72</v>
      </c>
      <c r="K12" s="18">
        <v>45471</v>
      </c>
      <c r="L12" s="18">
        <v>45536</v>
      </c>
      <c r="M12" s="7" t="s">
        <v>56</v>
      </c>
      <c r="N12" s="7" t="s">
        <v>54</v>
      </c>
      <c r="O12" s="6" t="str">
        <f t="shared" si="1"/>
        <v>Laguna</v>
      </c>
      <c r="P12" s="12" t="s">
        <v>17</v>
      </c>
      <c r="Q12" s="6" t="str">
        <f t="shared" si="2"/>
        <v>Fair &amp; Festivals</v>
      </c>
    </row>
    <row r="13" spans="1:17" s="11" customFormat="1" ht="91.5" customHeight="1" x14ac:dyDescent="0.4">
      <c r="A13" s="7" t="s">
        <v>32</v>
      </c>
      <c r="B13" s="7" t="s">
        <v>32</v>
      </c>
      <c r="C13" s="13" t="s">
        <v>116</v>
      </c>
      <c r="D13" s="13" t="s">
        <v>117</v>
      </c>
      <c r="E13" s="7">
        <f t="shared" si="0"/>
        <v>128</v>
      </c>
      <c r="F13" s="6" t="s">
        <v>55</v>
      </c>
      <c r="G13" s="9" t="s">
        <v>114</v>
      </c>
      <c r="H13" s="10" t="s">
        <v>113</v>
      </c>
      <c r="I13" s="6" t="s">
        <v>115</v>
      </c>
      <c r="J13" s="7" t="s">
        <v>118</v>
      </c>
      <c r="K13" s="18">
        <v>45541</v>
      </c>
      <c r="L13" s="18">
        <v>45543</v>
      </c>
      <c r="M13" s="7" t="s">
        <v>56</v>
      </c>
      <c r="N13" s="7" t="s">
        <v>54</v>
      </c>
      <c r="O13" s="6" t="str">
        <f t="shared" si="1"/>
        <v>Lobster</v>
      </c>
      <c r="P13" s="12" t="s">
        <v>16</v>
      </c>
      <c r="Q13" s="6" t="str">
        <f t="shared" si="2"/>
        <v>Fair &amp; Festivals</v>
      </c>
    </row>
    <row r="14" spans="1:17" s="11" customFormat="1" ht="81" customHeight="1" x14ac:dyDescent="0.4">
      <c r="A14" s="7" t="s">
        <v>33</v>
      </c>
      <c r="B14" s="7" t="s">
        <v>33</v>
      </c>
      <c r="C14" s="13" t="s">
        <v>119</v>
      </c>
      <c r="D14" s="13" t="s">
        <v>120</v>
      </c>
      <c r="E14" s="7">
        <f t="shared" si="0"/>
        <v>190</v>
      </c>
      <c r="F14" s="6" t="s">
        <v>55</v>
      </c>
      <c r="G14" s="9">
        <v>92629</v>
      </c>
      <c r="H14" s="10" t="s">
        <v>123</v>
      </c>
      <c r="I14" s="6" t="s">
        <v>122</v>
      </c>
      <c r="J14" s="7" t="s">
        <v>121</v>
      </c>
      <c r="K14" s="18">
        <v>45548</v>
      </c>
      <c r="L14" s="18">
        <v>45550</v>
      </c>
      <c r="M14" s="7" t="s">
        <v>56</v>
      </c>
      <c r="N14" s="7" t="s">
        <v>54</v>
      </c>
      <c r="O14" s="6" t="str">
        <f t="shared" si="1"/>
        <v>Maritime</v>
      </c>
      <c r="P14" s="12" t="s">
        <v>16</v>
      </c>
      <c r="Q14" s="6" t="str">
        <f t="shared" si="2"/>
        <v>Fair &amp; Festivals</v>
      </c>
    </row>
    <row r="15" spans="1:17" s="11" customFormat="1" ht="106.5" customHeight="1" x14ac:dyDescent="0.4">
      <c r="A15" s="7" t="s">
        <v>50</v>
      </c>
      <c r="B15" s="7" t="s">
        <v>50</v>
      </c>
      <c r="C15" s="13" t="s">
        <v>200</v>
      </c>
      <c r="D15" s="13" t="s">
        <v>201</v>
      </c>
      <c r="E15" s="7">
        <f t="shared" si="0"/>
        <v>152</v>
      </c>
      <c r="F15" s="6" t="s">
        <v>55</v>
      </c>
      <c r="G15" s="9">
        <v>92661</v>
      </c>
      <c r="H15" s="10" t="s">
        <v>203</v>
      </c>
      <c r="I15" s="6" t="s">
        <v>207</v>
      </c>
      <c r="J15" s="7" t="s">
        <v>202</v>
      </c>
      <c r="K15" s="18">
        <v>45639</v>
      </c>
      <c r="L15" s="18">
        <v>45643</v>
      </c>
      <c r="M15" s="7" t="s">
        <v>56</v>
      </c>
      <c r="N15" s="7" t="s">
        <v>54</v>
      </c>
      <c r="O15" s="6" t="str">
        <f t="shared" si="1"/>
        <v>Newport Beach</v>
      </c>
      <c r="P15" s="12" t="s">
        <v>16</v>
      </c>
      <c r="Q15" s="6" t="str">
        <f t="shared" si="2"/>
        <v>Fair &amp; Festivals</v>
      </c>
    </row>
    <row r="16" spans="1:17" s="11" customFormat="1" ht="82" customHeight="1" x14ac:dyDescent="0.4">
      <c r="A16" s="7" t="s">
        <v>41</v>
      </c>
      <c r="B16" s="7" t="s">
        <v>41</v>
      </c>
      <c r="C16" s="13" t="s">
        <v>158</v>
      </c>
      <c r="D16" s="13" t="s">
        <v>159</v>
      </c>
      <c r="E16" s="7">
        <f t="shared" si="0"/>
        <v>159</v>
      </c>
      <c r="F16" s="6" t="s">
        <v>55</v>
      </c>
      <c r="G16" s="9">
        <v>92660</v>
      </c>
      <c r="H16" s="10" t="s">
        <v>161</v>
      </c>
      <c r="I16" s="6" t="s">
        <v>206</v>
      </c>
      <c r="J16" s="7" t="s">
        <v>160</v>
      </c>
      <c r="K16" s="18">
        <v>45582</v>
      </c>
      <c r="L16" s="18">
        <v>45589</v>
      </c>
      <c r="M16" s="7" t="s">
        <v>56</v>
      </c>
      <c r="N16" s="7" t="s">
        <v>54</v>
      </c>
      <c r="O16" s="6" t="str">
        <f t="shared" si="1"/>
        <v>Newport Film</v>
      </c>
      <c r="P16" s="12" t="s">
        <v>17</v>
      </c>
      <c r="Q16" s="6" t="str">
        <f t="shared" si="2"/>
        <v>Fair &amp; Festivals</v>
      </c>
    </row>
    <row r="17" spans="1:17" s="11" customFormat="1" ht="74" customHeight="1" x14ac:dyDescent="0.4">
      <c r="A17" s="7" t="s">
        <v>22</v>
      </c>
      <c r="B17" s="7" t="s">
        <v>69</v>
      </c>
      <c r="C17" s="8" t="s">
        <v>65</v>
      </c>
      <c r="D17" s="8" t="s">
        <v>66</v>
      </c>
      <c r="E17" s="7">
        <f t="shared" si="0"/>
        <v>80</v>
      </c>
      <c r="F17" s="6" t="s">
        <v>55</v>
      </c>
      <c r="G17" s="9">
        <v>92626</v>
      </c>
      <c r="H17" s="10" t="s">
        <v>67</v>
      </c>
      <c r="I17" s="6" t="s">
        <v>70</v>
      </c>
      <c r="J17" s="7" t="s">
        <v>68</v>
      </c>
      <c r="K17" s="18">
        <v>45583</v>
      </c>
      <c r="L17" s="18">
        <v>45585</v>
      </c>
      <c r="M17" s="7" t="s">
        <v>56</v>
      </c>
      <c r="N17" s="7" t="s">
        <v>54</v>
      </c>
      <c r="O17" s="6" t="str">
        <f t="shared" si="1"/>
        <v>OC japan</v>
      </c>
      <c r="P17" s="12" t="s">
        <v>16</v>
      </c>
      <c r="Q17" s="6" t="str">
        <f t="shared" si="2"/>
        <v>Fair &amp; Festivals</v>
      </c>
    </row>
    <row r="18" spans="1:17" s="11" customFormat="1" ht="76.5" customHeight="1" x14ac:dyDescent="0.4">
      <c r="A18" s="7" t="s">
        <v>21</v>
      </c>
      <c r="B18" s="7" t="s">
        <v>62</v>
      </c>
      <c r="C18" s="8" t="s">
        <v>63</v>
      </c>
      <c r="D18" s="8" t="s">
        <v>64</v>
      </c>
      <c r="E18" s="7">
        <f t="shared" si="0"/>
        <v>157</v>
      </c>
      <c r="F18" s="6" t="s">
        <v>55</v>
      </c>
      <c r="G18" s="9">
        <v>92629</v>
      </c>
      <c r="H18" s="10" t="s">
        <v>53</v>
      </c>
      <c r="I18" s="6" t="s">
        <v>52</v>
      </c>
      <c r="J18" s="7" t="s">
        <v>51</v>
      </c>
      <c r="K18" s="18">
        <v>45562</v>
      </c>
      <c r="L18" s="18">
        <v>45564</v>
      </c>
      <c r="M18" s="7" t="s">
        <v>56</v>
      </c>
      <c r="N18" s="7" t="s">
        <v>54</v>
      </c>
      <c r="O18" s="6" t="str">
        <f t="shared" si="1"/>
        <v>Ohana</v>
      </c>
      <c r="P18" s="6" t="s">
        <v>19</v>
      </c>
      <c r="Q18" s="6" t="str">
        <f t="shared" si="2"/>
        <v>Fair &amp; Festivals</v>
      </c>
    </row>
    <row r="19" spans="1:17" s="11" customFormat="1" ht="43" customHeight="1" x14ac:dyDescent="0.4">
      <c r="A19" s="7" t="s">
        <v>38</v>
      </c>
      <c r="B19" s="7" t="s">
        <v>38</v>
      </c>
      <c r="C19" s="13" t="s">
        <v>145</v>
      </c>
      <c r="D19" s="13" t="s">
        <v>146</v>
      </c>
      <c r="E19" s="7">
        <f t="shared" si="0"/>
        <v>160</v>
      </c>
      <c r="F19" s="6" t="s">
        <v>55</v>
      </c>
      <c r="G19" s="9">
        <v>92626</v>
      </c>
      <c r="H19" s="10" t="s">
        <v>141</v>
      </c>
      <c r="I19" s="6" t="s">
        <v>144</v>
      </c>
      <c r="J19" s="7" t="s">
        <v>147</v>
      </c>
      <c r="K19" s="18">
        <v>45557</v>
      </c>
      <c r="L19" s="18">
        <v>45557</v>
      </c>
      <c r="M19" s="7" t="s">
        <v>56</v>
      </c>
      <c r="N19" s="7" t="s">
        <v>54</v>
      </c>
      <c r="O19" s="6" t="str">
        <f t="shared" si="1"/>
        <v>Orange county child</v>
      </c>
      <c r="P19" s="6" t="s">
        <v>16</v>
      </c>
      <c r="Q19" s="6" t="str">
        <f t="shared" si="2"/>
        <v>Fair &amp; Festivals</v>
      </c>
    </row>
    <row r="20" spans="1:17" s="11" customFormat="1" ht="87" customHeight="1" x14ac:dyDescent="0.4">
      <c r="A20" s="7" t="s">
        <v>20</v>
      </c>
      <c r="B20" s="7" t="s">
        <v>20</v>
      </c>
      <c r="C20" s="8" t="s">
        <v>60</v>
      </c>
      <c r="D20" s="8" t="s">
        <v>61</v>
      </c>
      <c r="E20" s="7">
        <f t="shared" si="0"/>
        <v>111</v>
      </c>
      <c r="F20" s="6" t="s">
        <v>55</v>
      </c>
      <c r="G20" s="9">
        <v>92626</v>
      </c>
      <c r="H20" s="10" t="s">
        <v>59</v>
      </c>
      <c r="I20" s="6" t="s">
        <v>58</v>
      </c>
      <c r="J20" s="7" t="s">
        <v>57</v>
      </c>
      <c r="K20" s="18">
        <v>45492</v>
      </c>
      <c r="L20" s="18">
        <v>45522</v>
      </c>
      <c r="M20" s="7" t="s">
        <v>18</v>
      </c>
      <c r="N20" s="7" t="s">
        <v>54</v>
      </c>
      <c r="O20" s="6" t="str">
        <f t="shared" si="1"/>
        <v>Orange county fair</v>
      </c>
      <c r="P20" s="6" t="s">
        <v>16</v>
      </c>
      <c r="Q20" s="6" t="str">
        <f t="shared" si="2"/>
        <v>Fair &amp; Festivals</v>
      </c>
    </row>
    <row r="21" spans="1:17" s="11" customFormat="1" ht="95.5" customHeight="1" x14ac:dyDescent="0.4">
      <c r="A21" s="7" t="s">
        <v>30</v>
      </c>
      <c r="B21" s="7" t="s">
        <v>105</v>
      </c>
      <c r="C21" s="8" t="s">
        <v>108</v>
      </c>
      <c r="D21" s="8" t="s">
        <v>107</v>
      </c>
      <c r="E21" s="7">
        <f t="shared" si="0"/>
        <v>151</v>
      </c>
      <c r="F21" s="6" t="s">
        <v>55</v>
      </c>
      <c r="G21" s="9">
        <v>92866</v>
      </c>
      <c r="H21" s="10" t="s">
        <v>106</v>
      </c>
      <c r="I21" s="6" t="s">
        <v>208</v>
      </c>
      <c r="J21" s="7" t="s">
        <v>104</v>
      </c>
      <c r="K21" s="18">
        <v>45536</v>
      </c>
      <c r="L21" s="18">
        <v>45538</v>
      </c>
      <c r="M21" s="7" t="s">
        <v>56</v>
      </c>
      <c r="N21" s="7" t="s">
        <v>54</v>
      </c>
      <c r="O21" s="6" t="str">
        <f t="shared" si="1"/>
        <v>Orange intern</v>
      </c>
      <c r="P21" s="6" t="s">
        <v>16</v>
      </c>
      <c r="Q21" s="6" t="str">
        <f t="shared" si="2"/>
        <v>Fair &amp; Festivals</v>
      </c>
    </row>
    <row r="22" spans="1:17" s="11" customFormat="1" ht="73.5" customHeight="1" x14ac:dyDescent="0.4">
      <c r="A22" s="7" t="s">
        <v>26</v>
      </c>
      <c r="B22" s="7" t="s">
        <v>86</v>
      </c>
      <c r="C22" s="8" t="s">
        <v>85</v>
      </c>
      <c r="D22" s="8" t="s">
        <v>85</v>
      </c>
      <c r="E22" s="7">
        <f t="shared" si="0"/>
        <v>135</v>
      </c>
      <c r="F22" s="6" t="s">
        <v>55</v>
      </c>
      <c r="G22" s="9">
        <v>92651</v>
      </c>
      <c r="H22" s="10" t="s">
        <v>82</v>
      </c>
      <c r="I22" s="6" t="s">
        <v>84</v>
      </c>
      <c r="J22" s="7" t="s">
        <v>83</v>
      </c>
      <c r="K22" s="18">
        <v>45479</v>
      </c>
      <c r="L22" s="18">
        <v>45534</v>
      </c>
      <c r="M22" s="7" t="s">
        <v>56</v>
      </c>
      <c r="N22" s="7" t="s">
        <v>54</v>
      </c>
      <c r="O22" s="6" t="str">
        <f t="shared" si="1"/>
        <v>Pageant</v>
      </c>
      <c r="P22" s="6" t="s">
        <v>17</v>
      </c>
      <c r="Q22" s="6" t="str">
        <f t="shared" si="2"/>
        <v>Fair &amp; Festivals</v>
      </c>
    </row>
    <row r="23" spans="1:17" s="11" customFormat="1" ht="105.5" customHeight="1" x14ac:dyDescent="0.4">
      <c r="A23" s="7" t="s">
        <v>43</v>
      </c>
      <c r="B23" s="7" t="s">
        <v>171</v>
      </c>
      <c r="C23" s="13" t="s">
        <v>167</v>
      </c>
      <c r="D23" s="13" t="s">
        <v>168</v>
      </c>
      <c r="E23" s="7">
        <f t="shared" si="0"/>
        <v>160</v>
      </c>
      <c r="F23" s="6" t="s">
        <v>55</v>
      </c>
      <c r="G23" s="9">
        <v>92870</v>
      </c>
      <c r="H23" s="10" t="s">
        <v>169</v>
      </c>
      <c r="I23" s="6" t="s">
        <v>170</v>
      </c>
      <c r="J23" s="7" t="s">
        <v>172</v>
      </c>
      <c r="K23" s="18">
        <v>45574</v>
      </c>
      <c r="L23" s="18">
        <v>45574</v>
      </c>
      <c r="M23" s="7" t="s">
        <v>56</v>
      </c>
      <c r="N23" s="7" t="s">
        <v>54</v>
      </c>
      <c r="O23" s="6" t="str">
        <f t="shared" si="1"/>
        <v>Placentia</v>
      </c>
      <c r="P23" s="6" t="s">
        <v>16</v>
      </c>
      <c r="Q23" s="6" t="str">
        <f t="shared" si="2"/>
        <v>Fair &amp; Festivals</v>
      </c>
    </row>
    <row r="24" spans="1:17" s="11" customFormat="1" ht="110.5" customHeight="1" x14ac:dyDescent="0.4">
      <c r="A24" s="7" t="s">
        <v>31</v>
      </c>
      <c r="B24" s="7" t="s">
        <v>31</v>
      </c>
      <c r="C24" s="13" t="s">
        <v>111</v>
      </c>
      <c r="D24" s="13" t="s">
        <v>112</v>
      </c>
      <c r="E24" s="7">
        <f t="shared" si="0"/>
        <v>134</v>
      </c>
      <c r="F24" s="6" t="s">
        <v>55</v>
      </c>
      <c r="G24" s="9">
        <v>92647</v>
      </c>
      <c r="H24" s="10" t="s">
        <v>143</v>
      </c>
      <c r="I24" s="6" t="s">
        <v>110</v>
      </c>
      <c r="J24" s="7" t="s">
        <v>109</v>
      </c>
      <c r="K24" s="18">
        <v>45535</v>
      </c>
      <c r="L24" s="18">
        <v>45597</v>
      </c>
      <c r="M24" s="7" t="s">
        <v>56</v>
      </c>
      <c r="N24" s="7" t="s">
        <v>54</v>
      </c>
      <c r="O24" s="6" t="str">
        <f t="shared" si="1"/>
        <v>Rock</v>
      </c>
      <c r="P24" s="6" t="s">
        <v>19</v>
      </c>
      <c r="Q24" s="6" t="str">
        <f t="shared" si="2"/>
        <v>Fair &amp; Festivals</v>
      </c>
    </row>
    <row r="25" spans="1:17" s="11" customFormat="1" ht="114" customHeight="1" x14ac:dyDescent="0.4">
      <c r="A25" s="7" t="s">
        <v>28</v>
      </c>
      <c r="B25" s="7" t="s">
        <v>98</v>
      </c>
      <c r="C25" s="8" t="s">
        <v>96</v>
      </c>
      <c r="D25" s="8" t="s">
        <v>97</v>
      </c>
      <c r="E25" s="7">
        <f t="shared" si="0"/>
        <v>147</v>
      </c>
      <c r="F25" s="6" t="s">
        <v>55</v>
      </c>
      <c r="G25" s="9">
        <v>92672</v>
      </c>
      <c r="H25" s="10" t="s">
        <v>95</v>
      </c>
      <c r="I25" s="6" t="s">
        <v>94</v>
      </c>
      <c r="J25" s="7" t="s">
        <v>93</v>
      </c>
      <c r="K25" s="18">
        <v>45515</v>
      </c>
      <c r="L25" s="18">
        <v>45516</v>
      </c>
      <c r="M25" s="7" t="s">
        <v>56</v>
      </c>
      <c r="N25" s="7" t="s">
        <v>54</v>
      </c>
      <c r="O25" s="6" t="str">
        <f t="shared" si="1"/>
        <v>San clemente</v>
      </c>
      <c r="P25" s="6" t="s">
        <v>19</v>
      </c>
      <c r="Q25" s="6" t="str">
        <f t="shared" si="2"/>
        <v>Fair &amp; Festivals</v>
      </c>
    </row>
    <row r="26" spans="1:17" s="11" customFormat="1" ht="119.5" customHeight="1" x14ac:dyDescent="0.4">
      <c r="A26" s="7" t="s">
        <v>36</v>
      </c>
      <c r="B26" s="7" t="s">
        <v>36</v>
      </c>
      <c r="C26" s="13" t="s">
        <v>133</v>
      </c>
      <c r="D26" s="13" t="s">
        <v>134</v>
      </c>
      <c r="E26" s="7">
        <f t="shared" si="0"/>
        <v>125</v>
      </c>
      <c r="F26" s="6" t="s">
        <v>55</v>
      </c>
      <c r="G26" s="9">
        <v>92675</v>
      </c>
      <c r="H26" s="10" t="s">
        <v>142</v>
      </c>
      <c r="I26" s="6" t="s">
        <v>135</v>
      </c>
      <c r="J26" s="7" t="s">
        <v>136</v>
      </c>
      <c r="K26" s="18">
        <v>45563</v>
      </c>
      <c r="L26" s="18">
        <v>45564</v>
      </c>
      <c r="M26" s="7" t="s">
        <v>56</v>
      </c>
      <c r="N26" s="7" t="s">
        <v>54</v>
      </c>
      <c r="O26" s="6" t="str">
        <f t="shared" si="1"/>
        <v>San juan</v>
      </c>
      <c r="P26" s="6" t="s">
        <v>16</v>
      </c>
      <c r="Q26" s="6" t="str">
        <f t="shared" si="2"/>
        <v>Fair &amp; Festivals</v>
      </c>
    </row>
    <row r="27" spans="1:17" s="11" customFormat="1" ht="112.5" customHeight="1" x14ac:dyDescent="0.4">
      <c r="A27" s="7" t="s">
        <v>24</v>
      </c>
      <c r="B27" s="7" t="s">
        <v>24</v>
      </c>
      <c r="C27" s="8" t="s">
        <v>78</v>
      </c>
      <c r="D27" s="8" t="s">
        <v>78</v>
      </c>
      <c r="E27" s="7">
        <f t="shared" si="0"/>
        <v>99</v>
      </c>
      <c r="F27" s="6" t="s">
        <v>55</v>
      </c>
      <c r="G27" s="9">
        <v>92651</v>
      </c>
      <c r="H27" s="10" t="s">
        <v>76</v>
      </c>
      <c r="I27" s="6" t="s">
        <v>209</v>
      </c>
      <c r="J27" s="7" t="s">
        <v>77</v>
      </c>
      <c r="K27" s="18">
        <v>45471</v>
      </c>
      <c r="L27" s="18">
        <v>45536</v>
      </c>
      <c r="M27" s="7" t="s">
        <v>56</v>
      </c>
      <c r="N27" s="7" t="s">
        <v>54</v>
      </c>
      <c r="O27" s="6" t="str">
        <f t="shared" si="1"/>
        <v>Sawdust festival</v>
      </c>
      <c r="P27" s="6" t="s">
        <v>16</v>
      </c>
      <c r="Q27" s="6" t="str">
        <f t="shared" si="2"/>
        <v>Fair &amp; Festivals</v>
      </c>
    </row>
    <row r="28" spans="1:17" s="11" customFormat="1" ht="91" customHeight="1" x14ac:dyDescent="0.4">
      <c r="A28" s="7" t="s">
        <v>49</v>
      </c>
      <c r="B28" s="7" t="s">
        <v>49</v>
      </c>
      <c r="C28" s="13" t="s">
        <v>197</v>
      </c>
      <c r="D28" s="13" t="s">
        <v>198</v>
      </c>
      <c r="E28" s="7">
        <f t="shared" si="0"/>
        <v>156</v>
      </c>
      <c r="F28" s="6" t="s">
        <v>55</v>
      </c>
      <c r="G28" s="9">
        <v>92651</v>
      </c>
      <c r="H28" s="10" t="s">
        <v>76</v>
      </c>
      <c r="I28" s="6" t="s">
        <v>199</v>
      </c>
      <c r="J28" s="7" t="s">
        <v>77</v>
      </c>
      <c r="K28" s="18">
        <v>45627</v>
      </c>
      <c r="L28" s="18">
        <v>45657</v>
      </c>
      <c r="M28" s="7" t="s">
        <v>56</v>
      </c>
      <c r="N28" s="7" t="s">
        <v>54</v>
      </c>
      <c r="O28" s="6" t="str">
        <f t="shared" si="1"/>
        <v>Sawdust winter</v>
      </c>
      <c r="P28" s="6" t="s">
        <v>16</v>
      </c>
      <c r="Q28" s="6" t="str">
        <f t="shared" si="2"/>
        <v>Fair &amp; Festivals</v>
      </c>
    </row>
    <row r="29" spans="1:17" s="11" customFormat="1" ht="43" customHeight="1" x14ac:dyDescent="0.4">
      <c r="A29" s="7" t="s">
        <v>45</v>
      </c>
      <c r="B29" s="7" t="s">
        <v>181</v>
      </c>
      <c r="C29" s="13" t="s">
        <v>178</v>
      </c>
      <c r="D29" s="13" t="s">
        <v>179</v>
      </c>
      <c r="E29" s="7">
        <f t="shared" si="0"/>
        <v>152</v>
      </c>
      <c r="F29" s="6" t="s">
        <v>55</v>
      </c>
      <c r="G29" s="9">
        <v>92676</v>
      </c>
      <c r="H29" s="10" t="s">
        <v>180</v>
      </c>
      <c r="I29" s="6" t="s">
        <v>210</v>
      </c>
      <c r="J29" s="7" t="s">
        <v>182</v>
      </c>
      <c r="K29" s="18">
        <v>45579</v>
      </c>
      <c r="L29" s="18">
        <v>45590</v>
      </c>
      <c r="M29" s="7" t="s">
        <v>56</v>
      </c>
      <c r="N29" s="7" t="s">
        <v>54</v>
      </c>
      <c r="O29" s="6" t="str">
        <f t="shared" si="1"/>
        <v>Silverado county</v>
      </c>
      <c r="P29" s="6" t="s">
        <v>16</v>
      </c>
      <c r="Q29" s="6" t="str">
        <f t="shared" si="2"/>
        <v>Fair &amp; Festivals</v>
      </c>
    </row>
    <row r="30" spans="1:17" s="11" customFormat="1" ht="47" customHeight="1" x14ac:dyDescent="0.4">
      <c r="A30" s="7" t="s">
        <v>46</v>
      </c>
      <c r="B30" s="7" t="s">
        <v>46</v>
      </c>
      <c r="C30" s="13" t="s">
        <v>183</v>
      </c>
      <c r="D30" s="13" t="s">
        <v>184</v>
      </c>
      <c r="E30" s="7">
        <f t="shared" si="0"/>
        <v>158</v>
      </c>
      <c r="F30" s="6" t="s">
        <v>55</v>
      </c>
      <c r="G30" s="9">
        <v>90620</v>
      </c>
      <c r="H30" s="10" t="s">
        <v>185</v>
      </c>
      <c r="I30" s="6" t="s">
        <v>186</v>
      </c>
      <c r="J30" s="7" t="s">
        <v>187</v>
      </c>
      <c r="K30" s="18">
        <v>45583</v>
      </c>
      <c r="L30" s="18">
        <v>45585</v>
      </c>
      <c r="M30" s="7" t="s">
        <v>56</v>
      </c>
      <c r="N30" s="7" t="s">
        <v>54</v>
      </c>
      <c r="O30" s="6" t="str">
        <f t="shared" si="1"/>
        <v>Silverado days</v>
      </c>
      <c r="P30" s="6" t="s">
        <v>16</v>
      </c>
      <c r="Q30" s="6" t="str">
        <f t="shared" si="2"/>
        <v>Fair &amp; Festivals</v>
      </c>
    </row>
    <row r="31" spans="1:17" s="11" customFormat="1" ht="73.5" customHeight="1" x14ac:dyDescent="0.4">
      <c r="A31" s="7" t="s">
        <v>47</v>
      </c>
      <c r="B31" s="7" t="s">
        <v>188</v>
      </c>
      <c r="C31" s="13" t="s">
        <v>189</v>
      </c>
      <c r="D31" s="13" t="s">
        <v>190</v>
      </c>
      <c r="E31" s="7">
        <f t="shared" si="0"/>
        <v>141</v>
      </c>
      <c r="F31" s="6" t="s">
        <v>55</v>
      </c>
      <c r="G31" s="9">
        <v>92647</v>
      </c>
      <c r="H31" s="10" t="s">
        <v>191</v>
      </c>
      <c r="I31" s="6" t="s">
        <v>192</v>
      </c>
      <c r="J31" s="7" t="s">
        <v>193</v>
      </c>
      <c r="K31" s="18">
        <v>45606</v>
      </c>
      <c r="L31" s="18">
        <v>45606</v>
      </c>
      <c r="M31" s="7" t="s">
        <v>56</v>
      </c>
      <c r="N31" s="7" t="s">
        <v>54</v>
      </c>
      <c r="O31" s="6" t="str">
        <f t="shared" si="1"/>
        <v>St. Martin</v>
      </c>
      <c r="P31" s="6" t="s">
        <v>16</v>
      </c>
      <c r="Q31" s="6" t="str">
        <f t="shared" si="2"/>
        <v>Fair &amp; Festivals</v>
      </c>
    </row>
    <row r="32" spans="1:17" s="11" customFormat="1" ht="122.5" customHeight="1" x14ac:dyDescent="0.4">
      <c r="A32" s="7" t="s">
        <v>40</v>
      </c>
      <c r="B32" s="7" t="s">
        <v>40</v>
      </c>
      <c r="C32" s="13" t="s">
        <v>153</v>
      </c>
      <c r="D32" s="13" t="s">
        <v>154</v>
      </c>
      <c r="E32" s="7">
        <f t="shared" si="0"/>
        <v>142</v>
      </c>
      <c r="F32" s="6" t="s">
        <v>55</v>
      </c>
      <c r="G32" s="9">
        <v>92780</v>
      </c>
      <c r="H32" s="10" t="s">
        <v>155</v>
      </c>
      <c r="I32" s="6" t="s">
        <v>156</v>
      </c>
      <c r="J32" s="7" t="s">
        <v>157</v>
      </c>
      <c r="K32" s="18">
        <v>45569</v>
      </c>
      <c r="L32" s="18">
        <v>45571</v>
      </c>
      <c r="M32" s="7" t="s">
        <v>56</v>
      </c>
      <c r="N32" s="7" t="s">
        <v>54</v>
      </c>
      <c r="O32" s="6" t="str">
        <f t="shared" si="1"/>
        <v>Till</v>
      </c>
      <c r="P32" s="6" t="s">
        <v>16</v>
      </c>
      <c r="Q32" s="6" t="str">
        <f t="shared" si="2"/>
        <v>Fair &amp; Festivals</v>
      </c>
    </row>
    <row r="33" spans="1:17" ht="26.5" customHeight="1" x14ac:dyDescent="0.35">
      <c r="A33" s="15"/>
      <c r="B33" s="15"/>
      <c r="C33" s="15"/>
      <c r="D33" s="15"/>
      <c r="E33" s="15"/>
      <c r="F33" s="15"/>
      <c r="G33" s="15"/>
      <c r="H33" s="15"/>
      <c r="I33" s="15"/>
      <c r="J33" s="15"/>
      <c r="K33" s="16"/>
      <c r="L33" s="16"/>
      <c r="M33" s="15"/>
      <c r="N33" s="15"/>
      <c r="O33" s="15"/>
      <c r="P33" s="15"/>
      <c r="Q33" s="15"/>
    </row>
    <row r="34" spans="1:17" ht="26.5" customHeight="1" x14ac:dyDescent="0.35">
      <c r="A34" s="15"/>
      <c r="B34" s="15"/>
      <c r="C34" s="15"/>
      <c r="D34" s="15"/>
      <c r="E34" s="15"/>
      <c r="F34" s="15"/>
      <c r="G34" s="15"/>
      <c r="H34" s="15"/>
      <c r="I34" s="15"/>
      <c r="J34" s="15"/>
      <c r="K34" s="16"/>
      <c r="L34" s="16"/>
      <c r="M34" s="15"/>
      <c r="N34" s="15"/>
      <c r="O34" s="15"/>
      <c r="P34" s="15"/>
      <c r="Q34" s="15"/>
    </row>
    <row r="35" spans="1:17" ht="26.5" customHeight="1" x14ac:dyDescent="0.35">
      <c r="A35" s="15"/>
      <c r="B35" s="15"/>
      <c r="C35" s="15"/>
      <c r="D35" s="15"/>
      <c r="E35" s="15"/>
      <c r="F35" s="15"/>
      <c r="G35" s="15"/>
      <c r="H35" s="15"/>
      <c r="I35" s="15"/>
      <c r="J35" s="15"/>
      <c r="K35" s="16"/>
      <c r="L35" s="16"/>
      <c r="M35" s="15"/>
      <c r="N35" s="15"/>
      <c r="O35" s="15"/>
      <c r="P35" s="15"/>
      <c r="Q35" s="15"/>
    </row>
    <row r="36" spans="1:17" ht="26.5" customHeight="1" x14ac:dyDescent="0.35"/>
    <row r="37" spans="1:17" ht="26.5" customHeight="1" x14ac:dyDescent="0.35"/>
    <row r="38" spans="1:17" ht="26.5" customHeight="1" x14ac:dyDescent="0.35"/>
    <row r="39" spans="1:17" ht="26.5" customHeight="1" x14ac:dyDescent="0.35"/>
    <row r="40" spans="1:17" ht="26.5" customHeight="1" x14ac:dyDescent="0.35"/>
    <row r="41" spans="1:17" ht="26.5" customHeight="1" x14ac:dyDescent="0.35"/>
    <row r="42" spans="1:17" ht="26.5" customHeight="1" x14ac:dyDescent="0.35"/>
    <row r="43" spans="1:17" ht="26.5" customHeight="1" x14ac:dyDescent="0.35"/>
    <row r="44" spans="1:17" ht="26.5" customHeight="1" x14ac:dyDescent="0.35"/>
    <row r="45" spans="1:17" ht="26.5" customHeight="1" x14ac:dyDescent="0.35"/>
  </sheetData>
  <autoFilter ref="A1:Q3" xr:uid="{63DA3E44-3605-449C-AE11-8D4FB01A0BBE}">
    <sortState xmlns:xlrd2="http://schemas.microsoft.com/office/spreadsheetml/2017/richdata2" ref="A2:Q32">
      <sortCondition ref="B1:B3"/>
    </sortState>
  </autoFilter>
  <phoneticPr fontId="7"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Fairs</vt:lpstr>
      <vt:lpstr>Fairs!Print_Area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2024-08-03T21:29:52Z</dcterms:modified>
</cp:coreProperties>
</file>