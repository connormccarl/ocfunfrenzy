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7c8981b39d99169f/Desktop/- OCFF/Fiverr/- Archive - Sent to Malshi/"/>
    </mc:Choice>
  </mc:AlternateContent>
  <xr:revisionPtr revIDLastSave="409" documentId="8_{665CF005-0AB3-47DB-8158-F8DE2819F8AE}" xr6:coauthVersionLast="47" xr6:coauthVersionMax="47" xr10:uidLastSave="{3AEFEDA9-C9F2-4F0C-B0EA-ECB518B57AA7}"/>
  <bookViews>
    <workbookView xWindow="-110" yWindow="-110" windowWidth="19420" windowHeight="11500" xr2:uid="{3F4AF157-4EA4-44F9-9369-4ED39BF1C451}"/>
  </bookViews>
  <sheets>
    <sheet name="Fairs" sheetId="2" r:id="rId1"/>
  </sheets>
  <definedNames>
    <definedName name="_xlnm._FilterDatabase" localSheetId="0" hidden="1">Fairs!$A$1:$Q$1</definedName>
    <definedName name="_xlnm.Print_Area" localSheetId="0">Fairs!$A$1:$C$13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 i="2" l="1"/>
  <c r="Q12" i="2"/>
  <c r="Q7" i="2"/>
  <c r="Q13" i="2"/>
  <c r="O12" i="2"/>
  <c r="O7" i="2"/>
  <c r="E12" i="2"/>
  <c r="E7" i="2"/>
  <c r="E13" i="2"/>
  <c r="E11" i="2"/>
  <c r="E2" i="2"/>
  <c r="Q11" i="2"/>
  <c r="Q2" i="2"/>
  <c r="O11" i="2"/>
  <c r="O2" i="2"/>
  <c r="Q8" i="2"/>
  <c r="Q5" i="2"/>
  <c r="Q3" i="2"/>
  <c r="Q10" i="2"/>
  <c r="Q4" i="2"/>
  <c r="Q6" i="2"/>
  <c r="Q9" i="2"/>
  <c r="O8" i="2"/>
  <c r="O5" i="2"/>
  <c r="O3" i="2"/>
  <c r="O10" i="2"/>
  <c r="O4" i="2"/>
  <c r="O6" i="2"/>
  <c r="O9" i="2"/>
  <c r="E8" i="2"/>
  <c r="E5" i="2"/>
  <c r="E3" i="2"/>
  <c r="E10" i="2"/>
  <c r="E4" i="2"/>
  <c r="E6" i="2"/>
  <c r="E9" i="2"/>
</calcChain>
</file>

<file path=xl/sharedStrings.xml><?xml version="1.0" encoding="utf-8"?>
<sst xmlns="http://schemas.openxmlformats.org/spreadsheetml/2006/main" count="150" uniqueCount="101">
  <si>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</si>
  <si>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</si>
  <si>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</si>
  <si>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</si>
  <si>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</si>
  <si>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</si>
  <si>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</si>
  <si>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</si>
  <si>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</si>
  <si>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</si>
  <si>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</si>
  <si>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</si>
  <si>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</si>
  <si>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</si>
  <si>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</si>
  <si>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</si>
  <si>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Irvine</t>
  </si>
  <si>
    <t>Irvine/Orange County Turkey Trot 5k &amp; 1 mile</t>
  </si>
  <si>
    <t>Color Vibe 5K</t>
  </si>
  <si>
    <t>SJVRC One Mile One Child</t>
  </si>
  <si>
    <t>Harvest Hustle 5k, 10k and Half Marathon</t>
  </si>
  <si>
    <t>Jingle Bell Run</t>
  </si>
  <si>
    <t>OCTC Pancake 5k</t>
  </si>
  <si>
    <t>Group, solo</t>
  </si>
  <si>
    <t>Races</t>
  </si>
  <si>
    <t>Solo</t>
  </si>
  <si>
    <t>https://ocfair5k.com/</t>
  </si>
  <si>
    <t>OC</t>
  </si>
  <si>
    <t>OC Fair Fun Run 5k</t>
  </si>
  <si>
    <t>88 FAIR DRIVE, COSTA MESA, CA</t>
  </si>
  <si>
    <t>Race</t>
  </si>
  <si>
    <t>The OC Fair Fun Run - South County Outreach is a nonprofit organization that helps people in Orange County who are struggling to put food on their table and keep a roof over their head. Their food pantry offers fresh and nutritious groceries, while their housing program helps prevent homelessness by offering rental and utility assistance. South County Outreach relies on volunteers and donations to make a difference in the community, working tirelessly to improve the lives of those they serve. </t>
  </si>
  <si>
    <t>OC Fair Fun Run - South County Outreach is a nonprofit org. that helps people in OC who are struggling to put food on their table &amp; keep a roof over their head.</t>
  </si>
  <si>
    <t>https://runsignup.com/Race/CA/Irvine/OrangeCountyTurkeyTrot</t>
  </si>
  <si>
    <t xml:space="preserve">5500 Irvine Center Dr. Irvine, CA </t>
  </si>
  <si>
    <r>
      <t>Irvine/Orange County Turkey Trot Race - Two New Race Choices!  Choose the best race for you and earn a custom finishers medal and slice of fresh pumpkin pie!</t>
    </r>
    <r>
      <rPr>
        <b/>
        <sz val="8"/>
        <rFont val="Times New Roman"/>
        <family val="1"/>
      </rPr>
      <t xml:space="preserve"> Run fast, jog, trot, walk, or enjoy a nice stroll on this flat scenic course.  A scrumptious SLICE OF PIE awaits you at the finish. Along with So Cal's best custom cast finisher medal, you get an awesome shirt and CHIP TIMED.  Get your friends and family together and kick off the holidays together!   Guaranteed to be a picture perfect way to start celebrating THANKSGIVING DAY!</t>
    </r>
  </si>
  <si>
    <r>
      <t>Irvine/Orange County Turkey Trot Race - Two New Race Choices!</t>
    </r>
    <r>
      <rPr>
        <sz val="8"/>
        <rFont val="Arial"/>
        <family val="2"/>
      </rPr>
      <t>  Choose the best race for you and earn a custom finishers medal and slice of fresh pumpkin pie!</t>
    </r>
    <r>
      <rPr>
        <b/>
        <sz val="8"/>
        <rFont val="Arial"/>
        <family val="2"/>
      </rPr>
      <t xml:space="preserve"> </t>
    </r>
  </si>
  <si>
    <t>https://www.thecolorvibe.com/orangecounty.php</t>
  </si>
  <si>
    <t>Color</t>
  </si>
  <si>
    <t>Color Vibe Race - Get ready MARINA for the most colorful fun-filled day of your life! You'll have more color on you than your happy levels can handle! So get your friends and family stretched out for this amazing color blast event where you'll get blasted with color. Color Vibe is coming soon so join the VIP list by pre-registering today!</t>
  </si>
  <si>
    <t>Color Vibe Race - Get ready MARINA for the most colorful fun-filled day of your life! You'll have more color on you than your happy levels can handle!</t>
  </si>
  <si>
    <t xml:space="preserve">7202 Edinger Ave, Huntington Beach, CA </t>
  </si>
  <si>
    <t xml:space="preserve">16400 Brookhurst St, Fountain Valley, CA </t>
  </si>
  <si>
    <t>https://www.adventuresignup.com/Race/Info/CA/FountainValley/OrangeCountyOneMile4OneChildCharityRun2024</t>
  </si>
  <si>
    <t>SJ</t>
  </si>
  <si>
    <t>Experience the thrill  1st Annual SJVRC OneMile4OneChild Orange County  Charity Run 2024.  Join us along with other fellow runners and walkers around Southern California of all ages and skill levels to promote running and embrace a healthy lifestyle, while raising funds to support the less fortunate children in Vietnam. We are too far to touch hands but not too far to touch hearts.</t>
  </si>
  <si>
    <t>Irvine/Orange County Turkey Trot 5k &amp; 1 mile Race</t>
  </si>
  <si>
    <t>Color Vibe 5K Race</t>
  </si>
  <si>
    <t>SJVRC One Mile One Child Race</t>
  </si>
  <si>
    <t>Harvest Hustle 5k, 10k and Half Marathon Race</t>
  </si>
  <si>
    <t>Jingle Bell Run Race</t>
  </si>
  <si>
    <t>OCTC Pancake 5k Race</t>
  </si>
  <si>
    <t>Experience the thrill  1st Annual SJVRC OneMile4OneChild Orange County Charity Run 2024.  Join other fellow runners &amp; walkers of all ages and skill levels.</t>
  </si>
  <si>
    <t>16801 Euclid St, Fountain Valley, CA</t>
  </si>
  <si>
    <t>Harvest</t>
  </si>
  <si>
    <t>https://runsignup.com/Race/CA/FountainValley/ChasingSanta5K10K15KandHalfMarathon</t>
  </si>
  <si>
    <t>Harvest Hustle Race - Don't worry about fuel and water, we've got you covered so you can focus on your performance. With the flexibility to sign up for any of at least three different distances at every one of our friendly gatherings, you can decide what feels right for you on race day. Plus, there are special incentives for signing up for multiple events, including discounts on the total, free entry to another event, and special edition HTR shirts for completing 10 or more events in one calendar year.</t>
  </si>
  <si>
    <t xml:space="preserve">Harvest Hustle Race - Flexibility to sign up for any of at least 3 different distances, you can decide what feels right for you on race day. </t>
  </si>
  <si>
    <t>Jingle</t>
  </si>
  <si>
    <t>https://events.arthritis.org/index.cfm?fuseaction=donorDrive.event&amp;eventID=1711</t>
  </si>
  <si>
    <t xml:space="preserve">2000 E Gene Autry Way, Anaheim, CA </t>
  </si>
  <si>
    <t>Jingle Bell Run Race - Your fundraising efforts are fueling the fight to conquer arthritis. With every step, we're funding critical research for treatments and a cure, as well as supporting life-changing resources and programs. Don't miss out on this special occasion to make a real difference while celebrating four decades of impact with the Jingle Bell Run. Let's lace up, hit the pavement, and jingle our way toward victory over arthritis!</t>
  </si>
  <si>
    <t xml:space="preserve">Jingle Bell Run Race - Your fundraising efforts are fueling the fight to conquer arthritis. </t>
  </si>
  <si>
    <t>https://www.cityofcostamesanews.com/event/19th-annual-octc-pancake-breakfast-5k/</t>
  </si>
  <si>
    <t>OCTC</t>
  </si>
  <si>
    <t xml:space="preserve">2501 Placentia Avenue, Costa Mesa, CA </t>
  </si>
  <si>
    <t>OCTC Pancake 5k Race is provided by Estancia High School.</t>
  </si>
  <si>
    <t>OCTC Pancake 5k race is provided by Estancia High School.</t>
  </si>
  <si>
    <t>Surf City 5k, 10k &amp; 10 Mile Race</t>
  </si>
  <si>
    <t>Surf City Race - This fall, Huntington Beach is once again home to one of the most beautiful running races in California – start and finish from Huntington Beach’s Pier Plaza. Run along the PCH and take in sandy beaches, palm tree-studded hills, wave surfing dolphins and more.</t>
  </si>
  <si>
    <t xml:space="preserve">Surf City Race - Huntington Beach is once again home to one of the most beautiful running races in CA – start and finish from Huntington Beach’s Pier Plaza. </t>
  </si>
  <si>
    <t>https://www.surfcity10.com/</t>
  </si>
  <si>
    <t xml:space="preserve">21291 Pacific Coast Highway, Huntington Beach, CA </t>
  </si>
  <si>
    <t>92648 </t>
  </si>
  <si>
    <t>Surf</t>
  </si>
  <si>
    <t>https://www.thealoharun.com/long-beach/</t>
  </si>
  <si>
    <t>Aloha</t>
  </si>
  <si>
    <t>200 Aquarium Way Long Beach, CA</t>
  </si>
  <si>
    <t>Aloha Race Run</t>
  </si>
  <si>
    <t>Aloha Race - Throw on your grass skirts &amp; leis and sign up for Southern California’s favorite Hawaiian-themed fun run! The Aloha Run brings the spirit of the Pacific Islands to Long Beach. With themed live music and dancing along both the 5K and 10K courses, it’s the most fun you’ll ever have in a coconut bra and grass skirt.</t>
  </si>
  <si>
    <t xml:space="preserve">Aloha Race - Throw on your grass skirts &amp; leis and sign up for Southern California’s favorite Hawaiian-themed fun run! </t>
  </si>
  <si>
    <t>That's No Moon Ultra's &amp; 30k Race</t>
  </si>
  <si>
    <t>Aloha Race Run Race</t>
  </si>
  <si>
    <t>That’s No Moon race is challenging and filled with difficult climbs, single track and technical trails. Are you tough enough? That’s No moon covers very rough terrain in remote locations that are not easily accessible and can have extreme weather conditions from time to time.</t>
  </si>
  <si>
    <t xml:space="preserve">That’s No Moon race is challenging and filled with difficult climbs, single track and technical trails. </t>
  </si>
  <si>
    <t>https://dirtyfeet.us/trailraces/nomoon/</t>
  </si>
  <si>
    <t>That</t>
  </si>
  <si>
    <t xml:space="preserve">13333 Black Star Canyon Rd, Silverado, CA </t>
  </si>
  <si>
    <t>https://runlongbeach.com/</t>
  </si>
  <si>
    <t>Long Beach Marathon &amp; Half Marathon Race</t>
  </si>
  <si>
    <t>Long Beach Race - Come experience one of the most scenic events in California, “Run Long Beach”. Starting in Downtown Long Beach, runners head towards the historic Queen Mary and then through Shoreline Village. After running next to the Pacific Ocean on the flat beach path, half marathoners will continue down Ocean Boulevard while full marathoners veer right and head through Belmont Shore toward Marine Stadium. Cheerleaders, sororities, fraternities, clubs, student organizations, faculty, and the school mascot Prospector Pete come out full-force to cheer as runners complete a 5K loop around the California State University, Long Beach campus. With 6.2 miles to go, runners head back towards Ocean Boulevard for a fast finish and Finish Line Festival celebration.</t>
  </si>
  <si>
    <t>Long Beach Race - Come experience one of the most scenic events in CA, “Run Long Beach”. Starting in Downtown LB, runners head towards the historic Queen Mary.</t>
  </si>
  <si>
    <t>Long</t>
  </si>
  <si>
    <t xml:space="preserve">386 E Shoreline Drive, Long Beach, CA </t>
  </si>
  <si>
    <t>UCI Anti-Cancer Race</t>
  </si>
  <si>
    <t>The UCI Anti-Cancer Challenge race in-person event will take place this October at UC Irvine. Participants are invited to join in-person or virtually when they register to ride, run, walk or volunteer. Event day activities include a 5K and 10K run/walk, 15-, 37-, 60- and 100-mile bike routes and a new mountain bike route. Participants can also enjoy the wellness festival featuring live entertainment, food, awards and more!</t>
  </si>
  <si>
    <t>The UCI Anti-Cancer Challenge race - Event day activities include a 5K and 10K run/walk, 15-, 37-, 60- and 100-mile bike routes and a new mountain bike route.</t>
  </si>
  <si>
    <t>https://www.anti-cancerchallenge.org/?rbref=rr</t>
  </si>
  <si>
    <t>UCI</t>
  </si>
  <si>
    <t xml:space="preserve">3800 W Chapman Ave Suite 3300, Orange, CA </t>
  </si>
  <si>
    <t>OC Fair Fun Run 5k Race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</si>
</sst>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8"/>
      <color rgb="FF000000"/>
      <name val="Times New Roman"/>
      <family val="1"/>
    </font>
    <font>
      <sz val="8"/>
      <name val="Times New Roman"/>
      <family val="1"/>
    </font>
    <font>
      <sz val="8"/>
      <name val="Aptos Narrow"/>
      <family val="2"/>
      <scheme val="minor"/>
    </font>
    <font>
      <b/>
      <sz val="8"/>
      <name val="Times New Roman"/>
      <family val="1"/>
    </font>
    <font>
      <sz val="8"/>
      <name val="Arial"/>
      <family val="2"/>
    </font>
    <font>
      <b/>
      <sz val="8"/>
      <name val="Arial"/>
      <family val="2"/>
    </font>
  </fonts>
  <fills count="5">
    <fill>
      <patternFill patternType="none"/>
    </fill>
    <fill>
      <patternFill patternType="gray125"/>
    </fill>
    <fill>
      <patternFill patternType="solid">
        <fgColor theme="0" tint="-0.249977111117893"/>
        <bgColor indexed="64"/>
      </patternFill>
    </fill>
    <fill>
      <patternFill patternType="solid">
        <fgColor theme="5"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0" fillId="3" borderId="0" xfId="0" applyFill="1"/>
    <xf numFmtId="0" fontId="1" fillId="3" borderId="1" xfId="0" applyFont="1" applyFill="1" applyBorder="1" applyAlignment="1">
      <alignment horizontal="center"/>
    </xf>
    <xf numFmtId="0" fontId="2" fillId="4" borderId="1" xfId="0" applyFont="1" applyFill="1" applyBorder="1"/>
    <xf numFmtId="0" fontId="2" fillId="4" borderId="1" xfId="0" applyFont="1" applyFill="1" applyBorder="1" applyAlignment="1">
      <alignment wrapText="1"/>
    </xf>
    <xf numFmtId="0" fontId="5" fillId="4" borderId="1" xfId="0" applyFont="1" applyFill="1" applyBorder="1" applyAlignment="1">
      <alignment vertical="center" wrapText="1"/>
    </xf>
    <xf numFmtId="0" fontId="2" fillId="4" borderId="1" xfId="0" applyFont="1" applyFill="1" applyBorder="1" applyAlignment="1">
      <alignment horizontal="left"/>
    </xf>
    <xf numFmtId="0" fontId="4" fillId="4" borderId="1" xfId="0" applyFont="1" applyFill="1" applyBorder="1" applyAlignment="1">
      <alignment wrapText="1"/>
    </xf>
    <xf numFmtId="14" fontId="2" fillId="4" borderId="1" xfId="0" applyNumberFormat="1" applyFont="1" applyFill="1" applyBorder="1"/>
    <xf numFmtId="0" fontId="0" fillId="4" borderId="0" xfId="0" applyFill="1"/>
    <xf numFmtId="0" fontId="0" fillId="0" borderId="1" xfId="0" applyBorder="1"/>
    <xf numFmtId="0" fontId="0" fillId="3" borderId="1" xfId="0" applyFill="1" applyBorder="1"/>
    <xf numFmtId="0" fontId="6"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39"/>
  <sheetViews>
    <sheetView tabSelected="1" zoomScale="80" zoomScaleNormal="80" workbookViewId="0">
      <pane ySplit="1" topLeftCell="A2" activePane="bottomLeft" state="frozen"/>
      <selection pane="bottomLeft" activeCell="C13" sqref="C13"/>
    </sheetView>
  </sheetViews>
  <sheetFormatPr defaultRowHeight="14.5" x14ac:dyDescent="0.3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4.453125" style="4" customWidth="1"/>
    <col min="12" max="12" width="14.26953125" style="4" customWidth="1"/>
    <col min="13" max="13" width="23" customWidth="1"/>
    <col min="14" max="14" width="19.26953125" customWidth="1"/>
    <col min="15" max="15" width="25.6328125" customWidth="1"/>
    <col min="16" max="16" width="22.453125" customWidth="1"/>
    <col min="17" max="17" width="19.81640625" customWidth="1"/>
    <col min="18" max="18" width="22.1796875" customWidth="1"/>
  </cols>
  <sheetData>
    <row r="1" spans="1:17" ht="34" x14ac:dyDescent="0.4">
      <c r="A1" s="1" t="s">
        <v>0</v>
      </c>
      <c r="B1" s="1" t="s">
        <v>11</v>
      </c>
      <c r="C1" s="1" t="s">
        <v>12</v>
      </c>
      <c r="D1" s="2" t="s">
        <v>13</v>
      </c>
      <c r="E1" s="3" t="s">
        <v>14</v>
      </c>
      <c r="F1" s="1" t="s">
        <v>1</v>
      </c>
      <c r="G1" s="1" t="s">
        <v>2</v>
      </c>
      <c r="H1" s="1" t="s">
        <v>3</v>
      </c>
      <c r="I1" s="2" t="s">
        <v>10</v>
      </c>
      <c r="J1" s="1" t="s">
        <v>4</v>
      </c>
      <c r="K1" s="5" t="s">
        <v>5</v>
      </c>
      <c r="L1" s="5" t="s">
        <v>6</v>
      </c>
      <c r="M1" s="1" t="s">
        <v>7</v>
      </c>
      <c r="N1" s="1" t="s">
        <v>8</v>
      </c>
      <c r="O1" s="1" t="s">
        <v>9</v>
      </c>
      <c r="P1" s="2" t="s">
        <v>15</v>
      </c>
      <c r="Q1" s="1" t="s">
        <v>8</v>
      </c>
    </row>
    <row r="2" spans="1:17" s="12" customFormat="1" ht="106" customHeight="1" x14ac:dyDescent="0.4">
      <c r="A2" s="7" t="s">
        <v>78</v>
      </c>
      <c r="B2" s="7" t="s">
        <v>82</v>
      </c>
      <c r="C2" s="15" t="s">
        <v>79</v>
      </c>
      <c r="D2" s="15" t="s">
        <v>80</v>
      </c>
      <c r="E2" s="7">
        <f t="shared" ref="E2:E13" si="0">LEN(D2)</f>
        <v>119</v>
      </c>
      <c r="F2" s="6" t="s">
        <v>30</v>
      </c>
      <c r="G2" s="9">
        <v>90802</v>
      </c>
      <c r="H2" s="10" t="s">
        <v>77</v>
      </c>
      <c r="I2" s="6" t="s">
        <v>76</v>
      </c>
      <c r="J2" s="7" t="s">
        <v>75</v>
      </c>
      <c r="K2" s="11">
        <v>45563</v>
      </c>
      <c r="L2" s="11">
        <v>45563</v>
      </c>
      <c r="M2" s="7" t="s">
        <v>23</v>
      </c>
      <c r="N2" s="7" t="s">
        <v>24</v>
      </c>
      <c r="O2" s="6" t="str">
        <f t="shared" ref="O2:O13" si="1">I2</f>
        <v>Aloha</v>
      </c>
      <c r="P2" s="6" t="s">
        <v>25</v>
      </c>
      <c r="Q2" s="6" t="str">
        <f t="shared" ref="Q2:Q13" si="2">N2</f>
        <v>Races</v>
      </c>
    </row>
    <row r="3" spans="1:17" s="12" customFormat="1" ht="152.5" customHeight="1" x14ac:dyDescent="0.4">
      <c r="A3" s="7" t="s">
        <v>18</v>
      </c>
      <c r="B3" s="7" t="s">
        <v>47</v>
      </c>
      <c r="C3" s="15" t="s">
        <v>39</v>
      </c>
      <c r="D3" s="15" t="s">
        <v>40</v>
      </c>
      <c r="E3" s="7">
        <f t="shared" si="0"/>
        <v>150</v>
      </c>
      <c r="F3" s="6" t="s">
        <v>30</v>
      </c>
      <c r="G3" s="9">
        <v>92647</v>
      </c>
      <c r="H3" s="10" t="s">
        <v>41</v>
      </c>
      <c r="I3" s="6" t="s">
        <v>38</v>
      </c>
      <c r="J3" s="7" t="s">
        <v>37</v>
      </c>
      <c r="K3" s="11">
        <v>45523</v>
      </c>
      <c r="L3" s="11">
        <v>45523</v>
      </c>
      <c r="M3" s="7" t="s">
        <v>23</v>
      </c>
      <c r="N3" s="7" t="s">
        <v>24</v>
      </c>
      <c r="O3" s="6" t="str">
        <f t="shared" si="1"/>
        <v>Color</v>
      </c>
      <c r="P3" s="6" t="s">
        <v>25</v>
      </c>
      <c r="Q3" s="6" t="str">
        <f t="shared" si="2"/>
        <v>Races</v>
      </c>
    </row>
    <row r="4" spans="1:17" s="12" customFormat="1" ht="89" customHeight="1" x14ac:dyDescent="0.4">
      <c r="A4" s="7" t="s">
        <v>20</v>
      </c>
      <c r="B4" s="7" t="s">
        <v>49</v>
      </c>
      <c r="C4" s="15" t="s">
        <v>56</v>
      </c>
      <c r="D4" s="15" t="s">
        <v>57</v>
      </c>
      <c r="E4" s="7">
        <f t="shared" si="0"/>
        <v>141</v>
      </c>
      <c r="F4" s="6" t="s">
        <v>30</v>
      </c>
      <c r="G4" s="9">
        <v>92708</v>
      </c>
      <c r="H4" s="10" t="s">
        <v>53</v>
      </c>
      <c r="I4" s="6" t="s">
        <v>54</v>
      </c>
      <c r="J4" s="7" t="s">
        <v>55</v>
      </c>
      <c r="K4" s="11">
        <v>45564</v>
      </c>
      <c r="L4" s="11">
        <v>45564</v>
      </c>
      <c r="M4" s="7" t="s">
        <v>23</v>
      </c>
      <c r="N4" s="7" t="s">
        <v>24</v>
      </c>
      <c r="O4" s="6" t="str">
        <f t="shared" si="1"/>
        <v>Harvest</v>
      </c>
      <c r="P4" s="6" t="s">
        <v>25</v>
      </c>
      <c r="Q4" s="6" t="str">
        <f t="shared" si="2"/>
        <v>Races</v>
      </c>
    </row>
    <row r="5" spans="1:17" s="12" customFormat="1" ht="96" customHeight="1" x14ac:dyDescent="0.4">
      <c r="A5" s="7" t="s">
        <v>17</v>
      </c>
      <c r="B5" s="7" t="s">
        <v>46</v>
      </c>
      <c r="C5" s="15" t="s">
        <v>35</v>
      </c>
      <c r="D5" s="15" t="s">
        <v>36</v>
      </c>
      <c r="E5" s="7">
        <f t="shared" si="0"/>
        <v>158</v>
      </c>
      <c r="F5" s="6" t="s">
        <v>30</v>
      </c>
      <c r="G5" s="9">
        <v>92618</v>
      </c>
      <c r="H5" s="10" t="s">
        <v>34</v>
      </c>
      <c r="I5" s="6" t="s">
        <v>16</v>
      </c>
      <c r="J5" s="7" t="s">
        <v>33</v>
      </c>
      <c r="K5" s="11">
        <v>45624</v>
      </c>
      <c r="L5" s="11">
        <v>45624</v>
      </c>
      <c r="M5" s="7" t="s">
        <v>23</v>
      </c>
      <c r="N5" s="7" t="s">
        <v>24</v>
      </c>
      <c r="O5" s="6" t="str">
        <f t="shared" si="1"/>
        <v>Irvine</v>
      </c>
      <c r="P5" s="6" t="s">
        <v>25</v>
      </c>
      <c r="Q5" s="6" t="str">
        <f t="shared" si="2"/>
        <v>Races</v>
      </c>
    </row>
    <row r="6" spans="1:17" s="12" customFormat="1" ht="140.5" customHeight="1" x14ac:dyDescent="0.4">
      <c r="A6" s="7" t="s">
        <v>21</v>
      </c>
      <c r="B6" s="7" t="s">
        <v>50</v>
      </c>
      <c r="C6" s="15" t="s">
        <v>61</v>
      </c>
      <c r="D6" s="15" t="s">
        <v>62</v>
      </c>
      <c r="E6" s="7">
        <f t="shared" si="0"/>
        <v>92</v>
      </c>
      <c r="F6" s="6" t="s">
        <v>30</v>
      </c>
      <c r="G6" s="9">
        <v>92806</v>
      </c>
      <c r="H6" s="10" t="s">
        <v>60</v>
      </c>
      <c r="I6" s="6" t="s">
        <v>58</v>
      </c>
      <c r="J6" s="7" t="s">
        <v>59</v>
      </c>
      <c r="K6" s="11">
        <v>45633</v>
      </c>
      <c r="L6" s="11">
        <v>45633</v>
      </c>
      <c r="M6" s="7" t="s">
        <v>23</v>
      </c>
      <c r="N6" s="7" t="s">
        <v>24</v>
      </c>
      <c r="O6" s="6" t="str">
        <f t="shared" si="1"/>
        <v>Jingle</v>
      </c>
      <c r="P6" s="6" t="s">
        <v>25</v>
      </c>
      <c r="Q6" s="6" t="str">
        <f t="shared" si="2"/>
        <v>Races</v>
      </c>
    </row>
    <row r="7" spans="1:17" s="12" customFormat="1" ht="101.5" customHeight="1" x14ac:dyDescent="0.4">
      <c r="A7" s="7" t="s">
        <v>89</v>
      </c>
      <c r="B7" s="7" t="s">
        <v>89</v>
      </c>
      <c r="C7" s="15" t="s">
        <v>90</v>
      </c>
      <c r="D7" s="15" t="s">
        <v>91</v>
      </c>
      <c r="E7" s="7">
        <f t="shared" si="0"/>
        <v>159</v>
      </c>
      <c r="F7" s="6" t="s">
        <v>30</v>
      </c>
      <c r="G7" s="9">
        <v>90803</v>
      </c>
      <c r="H7" s="10" t="s">
        <v>93</v>
      </c>
      <c r="I7" s="6" t="s">
        <v>92</v>
      </c>
      <c r="J7" s="7" t="s">
        <v>88</v>
      </c>
      <c r="K7" s="11">
        <v>45570</v>
      </c>
      <c r="L7" s="11">
        <v>45571</v>
      </c>
      <c r="M7" s="7" t="s">
        <v>23</v>
      </c>
      <c r="N7" s="7" t="s">
        <v>24</v>
      </c>
      <c r="O7" s="6" t="str">
        <f t="shared" si="1"/>
        <v>Long</v>
      </c>
      <c r="P7" s="6" t="s">
        <v>25</v>
      </c>
      <c r="Q7" s="6" t="str">
        <f t="shared" si="2"/>
        <v>Races</v>
      </c>
    </row>
    <row r="8" spans="1:17" s="12" customFormat="1" ht="64" customHeight="1" x14ac:dyDescent="0.4">
      <c r="A8" s="7" t="s">
        <v>28</v>
      </c>
      <c r="B8" s="7" t="s">
        <v>100</v>
      </c>
      <c r="C8" s="8" t="s">
        <v>31</v>
      </c>
      <c r="D8" s="8" t="s">
        <v>32</v>
      </c>
      <c r="E8" s="7">
        <f t="shared" si="0"/>
        <v>160</v>
      </c>
      <c r="F8" s="6" t="s">
        <v>30</v>
      </c>
      <c r="G8" s="9">
        <v>92626</v>
      </c>
      <c r="H8" s="10" t="s">
        <v>29</v>
      </c>
      <c r="I8" s="6" t="s">
        <v>27</v>
      </c>
      <c r="J8" s="7" t="s">
        <v>26</v>
      </c>
      <c r="K8" s="11">
        <v>45515</v>
      </c>
      <c r="L8" s="11">
        <v>45515</v>
      </c>
      <c r="M8" s="7" t="s">
        <v>23</v>
      </c>
      <c r="N8" s="7" t="s">
        <v>24</v>
      </c>
      <c r="O8" s="6" t="str">
        <f t="shared" si="1"/>
        <v>OC</v>
      </c>
      <c r="P8" s="6" t="s">
        <v>25</v>
      </c>
      <c r="Q8" s="6" t="str">
        <f t="shared" si="2"/>
        <v>Races</v>
      </c>
    </row>
    <row r="9" spans="1:17" s="12" customFormat="1" ht="123" customHeight="1" x14ac:dyDescent="0.4">
      <c r="A9" s="7" t="s">
        <v>22</v>
      </c>
      <c r="B9" s="7" t="s">
        <v>51</v>
      </c>
      <c r="C9" s="15" t="s">
        <v>66</v>
      </c>
      <c r="D9" s="15" t="s">
        <v>67</v>
      </c>
      <c r="E9" s="7">
        <f t="shared" si="0"/>
        <v>57</v>
      </c>
      <c r="F9" s="6" t="s">
        <v>30</v>
      </c>
      <c r="G9" s="9">
        <v>92626</v>
      </c>
      <c r="H9" s="10" t="s">
        <v>65</v>
      </c>
      <c r="I9" s="6" t="s">
        <v>64</v>
      </c>
      <c r="J9" s="7" t="s">
        <v>63</v>
      </c>
      <c r="K9" s="11">
        <v>45511</v>
      </c>
      <c r="L9" s="11">
        <v>45511</v>
      </c>
      <c r="M9" s="7" t="s">
        <v>23</v>
      </c>
      <c r="N9" s="7" t="s">
        <v>24</v>
      </c>
      <c r="O9" s="6" t="str">
        <f t="shared" si="1"/>
        <v>OCTC</v>
      </c>
      <c r="P9" s="6" t="s">
        <v>25</v>
      </c>
      <c r="Q9" s="6" t="str">
        <f t="shared" si="2"/>
        <v>Races</v>
      </c>
    </row>
    <row r="10" spans="1:17" s="12" customFormat="1" ht="94.5" customHeight="1" x14ac:dyDescent="0.4">
      <c r="A10" s="7" t="s">
        <v>19</v>
      </c>
      <c r="B10" s="7" t="s">
        <v>48</v>
      </c>
      <c r="C10" s="15" t="s">
        <v>45</v>
      </c>
      <c r="D10" s="15" t="s">
        <v>52</v>
      </c>
      <c r="E10" s="7">
        <f t="shared" si="0"/>
        <v>155</v>
      </c>
      <c r="F10" s="6" t="s">
        <v>30</v>
      </c>
      <c r="G10" s="9">
        <v>92708</v>
      </c>
      <c r="H10" s="10" t="s">
        <v>42</v>
      </c>
      <c r="I10" s="6" t="s">
        <v>44</v>
      </c>
      <c r="J10" s="7" t="s">
        <v>43</v>
      </c>
      <c r="K10" s="11">
        <v>45528</v>
      </c>
      <c r="L10" s="11">
        <v>45528</v>
      </c>
      <c r="M10" s="7" t="s">
        <v>23</v>
      </c>
      <c r="N10" s="7" t="s">
        <v>24</v>
      </c>
      <c r="O10" s="6" t="str">
        <f t="shared" si="1"/>
        <v>SJ</v>
      </c>
      <c r="P10" s="6" t="s">
        <v>25</v>
      </c>
      <c r="Q10" s="6" t="str">
        <f t="shared" si="2"/>
        <v>Races</v>
      </c>
    </row>
    <row r="11" spans="1:17" s="12" customFormat="1" ht="69.5" customHeight="1" x14ac:dyDescent="0.4">
      <c r="A11" s="7" t="s">
        <v>68</v>
      </c>
      <c r="B11" s="7" t="s">
        <v>68</v>
      </c>
      <c r="C11" s="15" t="s">
        <v>69</v>
      </c>
      <c r="D11" s="15" t="s">
        <v>70</v>
      </c>
      <c r="E11" s="7">
        <f t="shared" si="0"/>
        <v>157</v>
      </c>
      <c r="F11" s="6" t="s">
        <v>30</v>
      </c>
      <c r="G11" s="9" t="s">
        <v>73</v>
      </c>
      <c r="H11" s="10" t="s">
        <v>72</v>
      </c>
      <c r="I11" s="6" t="s">
        <v>74</v>
      </c>
      <c r="J11" s="7" t="s">
        <v>71</v>
      </c>
      <c r="K11" s="11">
        <v>45549</v>
      </c>
      <c r="L11" s="11">
        <v>45550</v>
      </c>
      <c r="M11" s="7" t="s">
        <v>23</v>
      </c>
      <c r="N11" s="7" t="s">
        <v>24</v>
      </c>
      <c r="O11" s="6" t="str">
        <f t="shared" si="1"/>
        <v>Surf</v>
      </c>
      <c r="P11" s="6" t="s">
        <v>25</v>
      </c>
      <c r="Q11" s="6" t="str">
        <f t="shared" si="2"/>
        <v>Races</v>
      </c>
    </row>
    <row r="12" spans="1:17" s="12" customFormat="1" ht="155.5" customHeight="1" x14ac:dyDescent="0.4">
      <c r="A12" s="7" t="s">
        <v>81</v>
      </c>
      <c r="B12" s="7" t="s">
        <v>81</v>
      </c>
      <c r="C12" s="15" t="s">
        <v>83</v>
      </c>
      <c r="D12" s="15" t="s">
        <v>84</v>
      </c>
      <c r="E12" s="7">
        <f t="shared" si="0"/>
        <v>104</v>
      </c>
      <c r="F12" s="6" t="s">
        <v>30</v>
      </c>
      <c r="G12" s="9">
        <v>92676</v>
      </c>
      <c r="H12" s="10" t="s">
        <v>87</v>
      </c>
      <c r="I12" s="6" t="s">
        <v>86</v>
      </c>
      <c r="J12" s="7" t="s">
        <v>85</v>
      </c>
      <c r="K12" s="11">
        <v>45563</v>
      </c>
      <c r="L12" s="11">
        <v>45563</v>
      </c>
      <c r="M12" s="7" t="s">
        <v>23</v>
      </c>
      <c r="N12" s="7" t="s">
        <v>24</v>
      </c>
      <c r="O12" s="6" t="str">
        <f t="shared" si="1"/>
        <v>That</v>
      </c>
      <c r="P12" s="6" t="s">
        <v>25</v>
      </c>
      <c r="Q12" s="6" t="str">
        <f t="shared" si="2"/>
        <v>Races</v>
      </c>
    </row>
    <row r="13" spans="1:17" s="12" customFormat="1" ht="99" customHeight="1" x14ac:dyDescent="0.4">
      <c r="A13" s="7" t="s">
        <v>94</v>
      </c>
      <c r="B13" s="7" t="s">
        <v>94</v>
      </c>
      <c r="C13" s="15" t="s">
        <v>95</v>
      </c>
      <c r="D13" s="15" t="s">
        <v>96</v>
      </c>
      <c r="E13" s="7">
        <f t="shared" si="0"/>
        <v>158</v>
      </c>
      <c r="F13" s="6" t="s">
        <v>30</v>
      </c>
      <c r="G13" s="9">
        <v>92868</v>
      </c>
      <c r="H13" s="10" t="s">
        <v>99</v>
      </c>
      <c r="I13" s="6" t="s">
        <v>98</v>
      </c>
      <c r="J13" s="7" t="s">
        <v>97</v>
      </c>
      <c r="K13" s="11">
        <v>45570</v>
      </c>
      <c r="L13" s="11">
        <v>45570</v>
      </c>
      <c r="M13" s="7" t="s">
        <v>23</v>
      </c>
      <c r="N13" s="7" t="s">
        <v>24</v>
      </c>
      <c r="O13" s="6" t="str">
        <f t="shared" si="1"/>
        <v>UCI</v>
      </c>
      <c r="P13" s="6" t="s">
        <v>25</v>
      </c>
      <c r="Q13" s="6" t="str">
        <f t="shared" si="2"/>
        <v>Races</v>
      </c>
    </row>
    <row r="14" spans="1:17" x14ac:dyDescent="0.35">
      <c r="A14" s="13"/>
      <c r="B14" s="13"/>
      <c r="C14" s="13"/>
      <c r="D14" s="13"/>
      <c r="E14" s="13"/>
      <c r="F14" s="13"/>
      <c r="G14" s="13"/>
      <c r="H14" s="13"/>
      <c r="I14" s="13"/>
      <c r="J14" s="13"/>
      <c r="K14" s="14"/>
      <c r="L14" s="14"/>
      <c r="M14" s="13"/>
      <c r="N14" s="13"/>
      <c r="O14" s="13"/>
      <c r="P14" s="13"/>
      <c r="Q14" s="13"/>
    </row>
    <row r="15" spans="1:17" x14ac:dyDescent="0.35">
      <c r="A15" s="13"/>
      <c r="B15" s="13"/>
      <c r="C15" s="13"/>
      <c r="D15" s="13"/>
      <c r="E15" s="13"/>
      <c r="F15" s="13"/>
      <c r="G15" s="13"/>
      <c r="H15" s="13"/>
      <c r="I15" s="13"/>
      <c r="J15" s="13"/>
      <c r="K15" s="14"/>
      <c r="L15" s="14"/>
      <c r="M15" s="13"/>
      <c r="N15" s="13"/>
      <c r="O15" s="13"/>
      <c r="P15" s="13"/>
      <c r="Q15" s="13"/>
    </row>
    <row r="16" spans="1:17" x14ac:dyDescent="0.35">
      <c r="A16" s="13"/>
      <c r="B16" s="13"/>
      <c r="C16" s="13"/>
      <c r="D16" s="13"/>
      <c r="E16" s="13"/>
      <c r="F16" s="13"/>
      <c r="G16" s="13"/>
      <c r="H16" s="13"/>
      <c r="I16" s="13"/>
      <c r="J16" s="13"/>
      <c r="K16" s="14"/>
      <c r="L16" s="14"/>
      <c r="M16" s="13"/>
      <c r="N16" s="13"/>
      <c r="O16" s="13"/>
      <c r="P16" s="13"/>
      <c r="Q16" s="13"/>
    </row>
    <row r="17" spans="1:17" x14ac:dyDescent="0.35">
      <c r="A17" s="13"/>
      <c r="B17" s="13"/>
      <c r="C17" s="13"/>
      <c r="D17" s="13"/>
      <c r="E17" s="13"/>
      <c r="F17" s="13"/>
      <c r="G17" s="13"/>
      <c r="H17" s="13"/>
      <c r="I17" s="13"/>
      <c r="J17" s="13"/>
      <c r="K17" s="14"/>
      <c r="L17" s="14"/>
      <c r="M17" s="13"/>
      <c r="N17" s="13"/>
      <c r="O17" s="13"/>
      <c r="P17" s="13"/>
      <c r="Q17" s="13"/>
    </row>
    <row r="18" spans="1:17" x14ac:dyDescent="0.35">
      <c r="A18" s="13"/>
      <c r="B18" s="13"/>
      <c r="C18" s="13"/>
      <c r="D18" s="13"/>
      <c r="E18" s="13"/>
      <c r="F18" s="13"/>
      <c r="G18" s="13"/>
      <c r="H18" s="13"/>
      <c r="I18" s="13"/>
      <c r="J18" s="13"/>
      <c r="K18" s="14"/>
      <c r="L18" s="14"/>
      <c r="M18" s="13"/>
      <c r="N18" s="13"/>
      <c r="O18" s="13"/>
      <c r="P18" s="13"/>
      <c r="Q18" s="13"/>
    </row>
    <row r="19" spans="1:17" x14ac:dyDescent="0.35">
      <c r="A19" s="13"/>
      <c r="B19" s="13"/>
      <c r="C19" s="13"/>
      <c r="D19" s="13"/>
      <c r="E19" s="13"/>
      <c r="F19" s="13"/>
      <c r="G19" s="13"/>
      <c r="H19" s="13"/>
      <c r="I19" s="13"/>
      <c r="J19" s="13"/>
      <c r="K19" s="14"/>
      <c r="L19" s="14"/>
      <c r="M19" s="13"/>
      <c r="N19" s="13"/>
      <c r="O19" s="13"/>
      <c r="P19" s="13"/>
      <c r="Q19" s="13"/>
    </row>
    <row r="20" spans="1:17" x14ac:dyDescent="0.35">
      <c r="A20" s="13"/>
      <c r="B20" s="13"/>
      <c r="C20" s="13"/>
      <c r="D20" s="13"/>
      <c r="E20" s="13"/>
      <c r="F20" s="13"/>
      <c r="G20" s="13"/>
      <c r="H20" s="13"/>
      <c r="I20" s="13"/>
      <c r="J20" s="13"/>
      <c r="K20" s="14"/>
      <c r="L20" s="14"/>
      <c r="M20" s="13"/>
      <c r="N20" s="13"/>
      <c r="O20" s="13"/>
      <c r="P20" s="13"/>
      <c r="Q20" s="13"/>
    </row>
    <row r="21" spans="1:17" x14ac:dyDescent="0.35">
      <c r="A21" s="13"/>
      <c r="B21" s="13"/>
      <c r="C21" s="13"/>
      <c r="D21" s="13"/>
      <c r="E21" s="13"/>
      <c r="F21" s="13"/>
      <c r="G21" s="13"/>
      <c r="H21" s="13"/>
      <c r="I21" s="13"/>
      <c r="J21" s="13"/>
      <c r="K21" s="14"/>
      <c r="L21" s="14"/>
      <c r="M21" s="13"/>
      <c r="N21" s="13"/>
      <c r="O21" s="13"/>
      <c r="P21" s="13"/>
      <c r="Q21" s="13"/>
    </row>
    <row r="22" spans="1:17" x14ac:dyDescent="0.35">
      <c r="A22" s="13"/>
      <c r="B22" s="13"/>
      <c r="C22" s="13"/>
      <c r="D22" s="13"/>
      <c r="E22" s="13"/>
      <c r="F22" s="13"/>
      <c r="G22" s="13"/>
      <c r="H22" s="13"/>
      <c r="I22" s="13"/>
      <c r="J22" s="13"/>
      <c r="K22" s="14"/>
      <c r="L22" s="14"/>
      <c r="M22" s="13"/>
      <c r="N22" s="13"/>
      <c r="O22" s="13"/>
      <c r="P22" s="13"/>
      <c r="Q22" s="13"/>
    </row>
    <row r="23" spans="1:17" x14ac:dyDescent="0.35">
      <c r="A23" s="13"/>
      <c r="B23" s="13"/>
      <c r="C23" s="13"/>
      <c r="D23" s="13"/>
      <c r="E23" s="13"/>
      <c r="F23" s="13"/>
      <c r="G23" s="13"/>
      <c r="H23" s="13"/>
      <c r="I23" s="13"/>
      <c r="J23" s="13"/>
      <c r="K23" s="14"/>
      <c r="L23" s="14"/>
      <c r="M23" s="13"/>
      <c r="N23" s="13"/>
      <c r="O23" s="13"/>
      <c r="P23" s="13"/>
      <c r="Q23" s="13"/>
    </row>
    <row r="24" spans="1:17" x14ac:dyDescent="0.35">
      <c r="A24" s="13"/>
      <c r="B24" s="13"/>
      <c r="C24" s="13"/>
      <c r="D24" s="13"/>
      <c r="E24" s="13"/>
      <c r="F24" s="13"/>
      <c r="G24" s="13"/>
      <c r="H24" s="13"/>
      <c r="I24" s="13"/>
      <c r="J24" s="13"/>
      <c r="K24" s="14"/>
      <c r="L24" s="14"/>
      <c r="M24" s="13"/>
      <c r="N24" s="13"/>
      <c r="O24" s="13"/>
      <c r="P24" s="13"/>
      <c r="Q24" s="13"/>
    </row>
    <row r="25" spans="1:17" x14ac:dyDescent="0.35">
      <c r="A25" s="13"/>
      <c r="B25" s="13"/>
      <c r="C25" s="13"/>
      <c r="D25" s="13"/>
      <c r="E25" s="13"/>
      <c r="F25" s="13"/>
      <c r="G25" s="13"/>
      <c r="H25" s="13"/>
      <c r="I25" s="13"/>
      <c r="J25" s="13"/>
      <c r="K25" s="14"/>
      <c r="L25" s="14"/>
      <c r="M25" s="13"/>
      <c r="N25" s="13"/>
      <c r="O25" s="13"/>
      <c r="P25" s="13"/>
      <c r="Q25" s="13"/>
    </row>
    <row r="26" spans="1:17" x14ac:dyDescent="0.35">
      <c r="A26" s="13"/>
      <c r="B26" s="13"/>
      <c r="C26" s="13"/>
      <c r="D26" s="13"/>
      <c r="E26" s="13"/>
      <c r="F26" s="13"/>
      <c r="G26" s="13"/>
      <c r="H26" s="13"/>
      <c r="I26" s="13"/>
      <c r="J26" s="13"/>
      <c r="K26" s="14"/>
      <c r="L26" s="14"/>
      <c r="M26" s="13"/>
      <c r="N26" s="13"/>
      <c r="O26" s="13"/>
      <c r="P26" s="13"/>
      <c r="Q26" s="13"/>
    </row>
    <row r="27" spans="1:17" x14ac:dyDescent="0.35">
      <c r="A27" s="13"/>
      <c r="B27" s="13"/>
      <c r="C27" s="13"/>
      <c r="D27" s="13"/>
      <c r="E27" s="13"/>
      <c r="F27" s="13"/>
      <c r="G27" s="13"/>
      <c r="H27" s="13"/>
      <c r="I27" s="13"/>
      <c r="J27" s="13"/>
      <c r="K27" s="14"/>
      <c r="L27" s="14"/>
      <c r="M27" s="13"/>
      <c r="N27" s="13"/>
      <c r="O27" s="13"/>
      <c r="P27" s="13"/>
      <c r="Q27" s="13"/>
    </row>
    <row r="28" spans="1:17" x14ac:dyDescent="0.35">
      <c r="A28" s="13"/>
      <c r="B28" s="13"/>
      <c r="C28" s="13"/>
      <c r="D28" s="13"/>
      <c r="E28" s="13"/>
      <c r="F28" s="13"/>
      <c r="G28" s="13"/>
      <c r="H28" s="13"/>
      <c r="I28" s="13"/>
      <c r="J28" s="13"/>
      <c r="K28" s="14"/>
      <c r="L28" s="14"/>
      <c r="M28" s="13"/>
      <c r="N28" s="13"/>
      <c r="O28" s="13"/>
      <c r="P28" s="13"/>
      <c r="Q28" s="13"/>
    </row>
    <row r="29" spans="1:17" x14ac:dyDescent="0.35">
      <c r="A29" s="13"/>
      <c r="B29" s="13"/>
      <c r="C29" s="13"/>
      <c r="D29" s="13"/>
      <c r="E29" s="13"/>
      <c r="F29" s="13"/>
      <c r="G29" s="13"/>
      <c r="H29" s="13"/>
      <c r="I29" s="13"/>
      <c r="J29" s="13"/>
      <c r="K29" s="14"/>
      <c r="L29" s="14"/>
      <c r="M29" s="13"/>
      <c r="N29" s="13"/>
      <c r="O29" s="13"/>
      <c r="P29" s="13"/>
      <c r="Q29" s="13"/>
    </row>
    <row r="30" spans="1:17" x14ac:dyDescent="0.35">
      <c r="A30" s="13"/>
      <c r="B30" s="13"/>
      <c r="C30" s="13"/>
      <c r="D30" s="13"/>
      <c r="E30" s="13"/>
      <c r="F30" s="13"/>
      <c r="G30" s="13"/>
      <c r="H30" s="13"/>
      <c r="I30" s="13"/>
      <c r="J30" s="13"/>
      <c r="K30" s="14"/>
      <c r="L30" s="14"/>
      <c r="M30" s="13"/>
      <c r="N30" s="13"/>
      <c r="O30" s="13"/>
      <c r="P30" s="13"/>
      <c r="Q30" s="13"/>
    </row>
    <row r="31" spans="1:17" x14ac:dyDescent="0.35">
      <c r="A31" s="13"/>
      <c r="B31" s="13"/>
      <c r="C31" s="13"/>
      <c r="D31" s="13"/>
      <c r="E31" s="13"/>
      <c r="F31" s="13"/>
      <c r="G31" s="13"/>
      <c r="H31" s="13"/>
      <c r="I31" s="13"/>
      <c r="J31" s="13"/>
      <c r="K31" s="14"/>
      <c r="L31" s="14"/>
      <c r="M31" s="13"/>
      <c r="N31" s="13"/>
      <c r="O31" s="13"/>
      <c r="P31" s="13"/>
      <c r="Q31" s="13"/>
    </row>
    <row r="32" spans="1:17" x14ac:dyDescent="0.35">
      <c r="A32" s="13"/>
      <c r="B32" s="13"/>
      <c r="C32" s="13"/>
      <c r="D32" s="13"/>
      <c r="E32" s="13"/>
      <c r="F32" s="13"/>
      <c r="G32" s="13"/>
      <c r="H32" s="13"/>
      <c r="I32" s="13"/>
      <c r="J32" s="13"/>
      <c r="K32" s="14"/>
      <c r="L32" s="14"/>
      <c r="M32" s="13"/>
      <c r="N32" s="13"/>
      <c r="O32" s="13"/>
      <c r="P32" s="13"/>
      <c r="Q32" s="13"/>
    </row>
    <row r="33" spans="1:17" x14ac:dyDescent="0.35">
      <c r="A33" s="13"/>
      <c r="B33" s="13"/>
      <c r="C33" s="13"/>
      <c r="D33" s="13"/>
      <c r="E33" s="13"/>
      <c r="F33" s="13"/>
      <c r="G33" s="13"/>
      <c r="H33" s="13"/>
      <c r="I33" s="13"/>
      <c r="J33" s="13"/>
      <c r="K33" s="14"/>
      <c r="L33" s="14"/>
      <c r="M33" s="13"/>
      <c r="N33" s="13"/>
      <c r="O33" s="13"/>
      <c r="P33" s="13"/>
      <c r="Q33" s="13"/>
    </row>
    <row r="34" spans="1:17" x14ac:dyDescent="0.35">
      <c r="A34" s="13"/>
      <c r="B34" s="13"/>
      <c r="C34" s="13"/>
      <c r="D34" s="13"/>
      <c r="E34" s="13"/>
      <c r="F34" s="13"/>
      <c r="G34" s="13"/>
      <c r="H34" s="13"/>
      <c r="I34" s="13"/>
      <c r="J34" s="13"/>
      <c r="K34" s="14"/>
      <c r="L34" s="14"/>
      <c r="M34" s="13"/>
      <c r="N34" s="13"/>
      <c r="O34" s="13"/>
      <c r="P34" s="13"/>
      <c r="Q34" s="13"/>
    </row>
    <row r="35" spans="1:17" x14ac:dyDescent="0.35">
      <c r="A35" s="13"/>
      <c r="B35" s="13"/>
      <c r="C35" s="13"/>
      <c r="D35" s="13"/>
      <c r="E35" s="13"/>
      <c r="F35" s="13"/>
      <c r="G35" s="13"/>
      <c r="H35" s="13"/>
      <c r="I35" s="13"/>
      <c r="J35" s="13"/>
      <c r="K35" s="14"/>
      <c r="L35" s="14"/>
      <c r="M35" s="13"/>
      <c r="N35" s="13"/>
      <c r="O35" s="13"/>
      <c r="P35" s="13"/>
      <c r="Q35" s="13"/>
    </row>
    <row r="36" spans="1:17" x14ac:dyDescent="0.35">
      <c r="A36" s="13"/>
      <c r="B36" s="13"/>
      <c r="C36" s="13"/>
      <c r="D36" s="13"/>
      <c r="E36" s="13"/>
      <c r="F36" s="13"/>
      <c r="G36" s="13"/>
      <c r="H36" s="13"/>
      <c r="I36" s="13"/>
      <c r="J36" s="13"/>
      <c r="K36" s="14"/>
      <c r="L36" s="14"/>
      <c r="M36" s="13"/>
      <c r="N36" s="13"/>
      <c r="O36" s="13"/>
      <c r="P36" s="13"/>
      <c r="Q36" s="13"/>
    </row>
    <row r="37" spans="1:17" x14ac:dyDescent="0.35">
      <c r="A37" s="13"/>
      <c r="B37" s="13"/>
      <c r="C37" s="13"/>
      <c r="D37" s="13"/>
      <c r="E37" s="13"/>
      <c r="F37" s="13"/>
      <c r="G37" s="13"/>
      <c r="H37" s="13"/>
      <c r="I37" s="13"/>
      <c r="J37" s="13"/>
      <c r="K37" s="14"/>
      <c r="L37" s="14"/>
      <c r="M37" s="13"/>
      <c r="N37" s="13"/>
      <c r="O37" s="13"/>
      <c r="P37" s="13"/>
      <c r="Q37" s="13"/>
    </row>
    <row r="38" spans="1:17" x14ac:dyDescent="0.35">
      <c r="A38" s="13"/>
      <c r="B38" s="13"/>
      <c r="C38" s="13"/>
      <c r="D38" s="13"/>
      <c r="E38" s="13"/>
      <c r="F38" s="13"/>
      <c r="G38" s="13"/>
      <c r="H38" s="13"/>
      <c r="I38" s="13"/>
      <c r="J38" s="13"/>
      <c r="K38" s="14"/>
      <c r="L38" s="14"/>
      <c r="M38" s="13"/>
      <c r="N38" s="13"/>
      <c r="O38" s="13"/>
      <c r="P38" s="13"/>
      <c r="Q38" s="13"/>
    </row>
    <row r="39" spans="1:17" x14ac:dyDescent="0.35">
      <c r="A39" s="13"/>
      <c r="B39" s="13"/>
      <c r="C39" s="13"/>
      <c r="D39" s="13"/>
      <c r="E39" s="13"/>
      <c r="F39" s="13"/>
      <c r="G39" s="13"/>
      <c r="H39" s="13"/>
      <c r="I39" s="13"/>
      <c r="J39" s="13"/>
      <c r="K39" s="14"/>
      <c r="L39" s="14"/>
      <c r="M39" s="13"/>
      <c r="N39" s="13"/>
      <c r="O39" s="13"/>
      <c r="P39" s="13"/>
      <c r="Q39" s="13"/>
    </row>
  </sheetData>
  <autoFilter ref="A1:Q1" xr:uid="{63DA3E44-3605-449C-AE11-8D4FB01A0BBE}">
    <sortState xmlns:xlrd2="http://schemas.microsoft.com/office/spreadsheetml/2017/richdata2" ref="A2:Q13">
      <sortCondition ref="B1"/>
    </sortState>
  </autoFilter>
  <phoneticPr fontId="7" type="noConversion"/>
  <pageMargins left="0.25" right="0.25" top="0.75" bottom="0.75" header="0.3" footer="0.3"/>
  <pageSetup scale="49" orientation="portrait" horizontalDpi="300" verticalDpi="300" r:id="rId1"/>
  <rowBreaks count="1" manualBreakCount="1">
    <brk id="13"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Fairs</vt:lpstr>
      <vt:lpstr>Fairs!Print_Area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2024-08-07T22:58:46Z</cp:lastPrinted>
  <dcterms:created xsi:type="dcterms:W3CDTF">2024-03-17T21:07:34Z</dcterms:created>
  <dcterms:modified xsi:type="dcterms:W3CDTF">2024-08-07T23:01:39Z</dcterms:modified>
</cp:coreProperties>
</file>