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conno\code\ocfunfrenzy\data\20260404\Raw\"/>
    </mc:Choice>
  </mc:AlternateContent>
  <xr:revisionPtr revIDLastSave="0" documentId="13_ncr:1_{D7DAEBFE-1058-4619-A9FB-95FC67867CE3}" xr6:coauthVersionLast="47" xr6:coauthVersionMax="47" xr10:uidLastSave="{00000000-0000-0000-0000-000000000000}"/>
  <bookViews>
    <workbookView xWindow="11424" yWindow="0" windowWidth="11712" windowHeight="12336" xr2:uid="{3F4AF157-4EA4-44F9-9369-4ED39BF1C451}"/>
  </bookViews>
  <sheets>
    <sheet name="Hikes" sheetId="2" r:id="rId1"/>
  </sheets>
  <definedNames>
    <definedName name="_xlnm._FilterDatabase" localSheetId="0" hidden="1">Hikes!$A$1:$Q$1</definedName>
    <definedName name="_xlnm.Print_Area" localSheetId="0">Hikes!$A$1:$B$1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 i="2" l="1"/>
  <c r="Q4" i="2"/>
  <c r="O4" i="2"/>
  <c r="E24" i="2"/>
  <c r="E4" i="2"/>
  <c r="O24" i="2"/>
  <c r="E6" i="2"/>
  <c r="E7" i="2"/>
  <c r="E8" i="2"/>
  <c r="E13" i="2"/>
  <c r="E12" i="2"/>
  <c r="E11" i="2"/>
  <c r="E15" i="2"/>
  <c r="E14" i="2"/>
  <c r="E10" i="2"/>
  <c r="E9" i="2"/>
  <c r="E16" i="2"/>
  <c r="E5" i="2"/>
  <c r="E17" i="2"/>
  <c r="E18" i="2"/>
  <c r="E19" i="2"/>
  <c r="E20" i="2"/>
  <c r="E23" i="2"/>
  <c r="E22" i="2"/>
  <c r="E21" i="2"/>
  <c r="Q6" i="2"/>
  <c r="Q7" i="2"/>
  <c r="Q8" i="2"/>
  <c r="Q13" i="2"/>
  <c r="Q12" i="2"/>
  <c r="Q11" i="2"/>
  <c r="Q15" i="2"/>
  <c r="Q14" i="2"/>
  <c r="Q10" i="2"/>
  <c r="Q9" i="2"/>
  <c r="Q16" i="2"/>
  <c r="Q5" i="2"/>
  <c r="Q17" i="2"/>
  <c r="Q18" i="2"/>
  <c r="Q19" i="2"/>
  <c r="Q20" i="2"/>
  <c r="Q23" i="2"/>
  <c r="Q22" i="2"/>
  <c r="Q21" i="2"/>
  <c r="O3" i="2"/>
  <c r="O6" i="2"/>
  <c r="O7" i="2"/>
  <c r="O8" i="2"/>
  <c r="O13" i="2"/>
  <c r="O12" i="2"/>
  <c r="O11" i="2"/>
  <c r="O15" i="2"/>
  <c r="O14" i="2"/>
  <c r="O10" i="2"/>
  <c r="O9" i="2"/>
  <c r="O16" i="2"/>
  <c r="O5" i="2"/>
  <c r="O17" i="2"/>
  <c r="O18" i="2"/>
  <c r="O19" i="2"/>
  <c r="O20" i="2"/>
  <c r="O23" i="2"/>
  <c r="O22" i="2"/>
  <c r="O21" i="2"/>
  <c r="Q2" i="2"/>
  <c r="Q3" i="2"/>
  <c r="O2" i="2"/>
  <c r="E2" i="2"/>
  <c r="E3" i="2"/>
</calcChain>
</file>

<file path=xl/sharedStrings.xml><?xml version="1.0" encoding="utf-8"?>
<sst xmlns="http://schemas.openxmlformats.org/spreadsheetml/2006/main" count="270" uniqueCount="163">
  <si>
    <t>Event</t>
  </si>
  <si>
    <t>Focus Keyphrase</t>
  </si>
  <si>
    <t>Zip code</t>
  </si>
  <si>
    <t>Event location</t>
  </si>
  <si>
    <t>Registration email/URL</t>
  </si>
  <si>
    <t>Start date</t>
  </si>
  <si>
    <t>End date</t>
  </si>
  <si>
    <t>Event category</t>
  </si>
  <si>
    <t>Event type</t>
  </si>
  <si>
    <t>Event thumbnail</t>
  </si>
  <si>
    <t>Banner name
(in folder, to upload)</t>
  </si>
  <si>
    <t>Title</t>
  </si>
  <si>
    <t>Meta Description 
(160 max words)</t>
  </si>
  <si>
    <t>Cell count</t>
  </si>
  <si>
    <t>Event category
(only 1)</t>
  </si>
  <si>
    <t>Anaheim</t>
  </si>
  <si>
    <t>Dripping Cave Trail Hike</t>
  </si>
  <si>
    <t>Hike Weir Canyon Trail</t>
  </si>
  <si>
    <t>Aliso Viejo - Dripping Cave Trail Hike</t>
  </si>
  <si>
    <t>Hike</t>
  </si>
  <si>
    <t>Date, family, solo, group</t>
  </si>
  <si>
    <t>Hikes</t>
  </si>
  <si>
    <t>https://hikingguy.com/hiking-trails/hiking-orange-county/dripping-cave-trail-hike/</t>
  </si>
  <si>
    <t xml:space="preserve">Dripping Cave Trail is one of the most fun and easiest hikes in OC. Dripping cave, used by native peoples and later bandits, is huge, open, and fun to explore. </t>
  </si>
  <si>
    <t>Aliso</t>
  </si>
  <si>
    <t xml:space="preserve">28373 Alicia Pkwy, Aliso Viejo, CA </t>
  </si>
  <si>
    <t>Group</t>
  </si>
  <si>
    <t>Tucked away in Aliso and Wood Canyons Wilderness Park, just minutes from Laguna Beach, the Dripping Cave HikeTrail is one of the most fun and easiest hikes in Orange County. Dripping cave, used by native peoples and later bandits, is huge, open, and fun to explore. The park is rich with natural beauty and wildlife, and on the way to Dripping Cave, we'll visit Cave Rock, another cool rock formation hidden away from the busier trails. This five-mile hike is mostly flat, easy to follow, and family-friendly.</t>
  </si>
  <si>
    <t>Anaheim - Weir Canyon Trail Hike</t>
  </si>
  <si>
    <t>https://hikingguy.com/hiking-trails/hiking-orange-county/hike-weir-canyon-trail/</t>
  </si>
  <si>
    <t>The Weir Canyon Trail hike is tucked into Orange County suburbia, but once you step onto the trail, you will feel like you are miles away. The best time to visit is when it's cooler in the spring; it becomes one of the best places to see wildflowers, including the California poppy. It's an excellent hike for beginners and those who want a quick escape.</t>
  </si>
  <si>
    <t xml:space="preserve">The Weir Canyon Trail hike is tucked into Orange County suburbia, but once you step onto the trail, you will feel like you are miles away. </t>
  </si>
  <si>
    <t xml:space="preserve">6984 E Overlook Terrace, Anaheim, CA </t>
  </si>
  <si>
    <t>Bolsa Chica Ecological Reserve Hike</t>
  </si>
  <si>
    <t>https://hikingguy.com/hiking-trails/hiking-orange-county/bolsa-chica-ecological-reserve-hike/</t>
  </si>
  <si>
    <t>With great opportunities for wildlife spotting, this easy Bolsa Chica Ecological Reserve hike takes you on a scenic loop through the 1,300+ acres of protected wetlands just minutes from the Huntington Beach. The scenery includes seabird nesting islands, fresh and saltwater marsh, mudflats, active riparian river banks, and water. Over 200 species of birds have been spotted here, and it's a popular stopover on bird migration routes. The hike is great for families with opportunities to shorten the route if 4.5 miles is too long.</t>
  </si>
  <si>
    <t xml:space="preserve"> 3842 Warner Ave, Huntington Beach, CA </t>
  </si>
  <si>
    <t>Huntington</t>
  </si>
  <si>
    <t>Huntington Beach - Bolsa Chica Ecological Reserve Hike</t>
  </si>
  <si>
    <t xml:space="preserve">This easy Bolsa Chica Ecological Reserve hike takes you on a scenic loop through the 1,300+ acres of protected wetlands just minutes from the Huntington Beach. </t>
  </si>
  <si>
    <t>Irvine - Bommer Canyon Trail Hike</t>
  </si>
  <si>
    <t>https://hikingguy.com/hiking-trails/hiking-orange-county/bommer-canyon-trail-hike-guide/</t>
  </si>
  <si>
    <t>Irvine bommer</t>
  </si>
  <si>
    <t>The Bommer Canyon Trail hike, a natural oasis nestled within suburbia, offers a little bit of everything. This easy hike showcases natural beauty, has lots of wildlife spotting opportunities, an interesting history, and sweeping vistas as you approach the highest point in the San Joaquin Hills. The full 4.8 mile hike includes some uphill, but if you want to do something easy, I'll show you an easy 2 mile option that's flat and great for families. Bommer Canyon is a National Natural Landmark and California's first Natural Landmark; it's worth visiting.</t>
  </si>
  <si>
    <t>Bommer Canyon Trail hike, a natural oasis nestled within suburbia, offers a little bit of everything. This easy hike showcases natural beauty.</t>
  </si>
  <si>
    <t xml:space="preserve">6400 Shady Canyon Trail, Irvine, CA </t>
  </si>
  <si>
    <t>Irvine - Quail Hill Trail Hike</t>
  </si>
  <si>
    <t>https://hikingguy.com/hiking-trails/hiking-orange-county/quail-hill-trail/</t>
  </si>
  <si>
    <t>Irvine quail</t>
  </si>
  <si>
    <t>Quail Hill Trail hike is a 2-mile loop hike that offers expansive views goes through the Irvine Open Space Preserve, designated a Natural Landmark by both the State of California and the U.S. Department of the Interior.  The family and beginner-friendly hike goes along the easy to follow Quail Hill Loop Trail, offers parking and bathrooms, interpretive displays, and wildlife viewing opportunities, all within minutes of suburban Irvine, CA.</t>
  </si>
  <si>
    <t>Quail Hill Trail hike is a 2-mile loop. The family and beginner-friendly hike goes along the easy to follow Quail Hill Loop Trail, offers parking and bathrooms.</t>
  </si>
  <si>
    <t xml:space="preserve">34 Shady Canyon, Irvine, CA </t>
  </si>
  <si>
    <t>Laguna Beach - Crystal Cove Red Route Hike</t>
  </si>
  <si>
    <t>https://hikingguy.com/hiking-trails/hiking-orange-county/crystal-cove-red-route-hike/</t>
  </si>
  <si>
    <t>The Crystal Cove red route hike is the toughest hike that the park recommends, calling it "a strenuous loop hike around the permitter of the park." The hike doesn't include a big mountain climb, but rather is a series of ups and downs through pristine native coastal scrub, a rarity in Southern California. The red route is well marked and easy to follow, there are bathrooms along the way, and it offers lots of opportunities for wildlife spotting and expansive ocean views.</t>
  </si>
  <si>
    <t xml:space="preserve">The Crystal Cove red route hike is the toughest hike that the park recommends, calling it "a strenuous loop hike around the permitter of the park." </t>
  </si>
  <si>
    <t xml:space="preserve">8471 N Pacific Coast Hwy, Laguna Beach, CA </t>
  </si>
  <si>
    <t>Laguna crystal cove red</t>
  </si>
  <si>
    <t>Laguna Beach - Crystal Cove Best of Hike</t>
  </si>
  <si>
    <t>https://hikingguy.com/hiking-trails/hiking-orange-county/crystal-cove-hike/</t>
  </si>
  <si>
    <t>Laguna crystal cove best</t>
  </si>
  <si>
    <t>This "best of" Crystal Cove hike takes you on a loop trail offering pristine coastal nature, ocean views, and well marked trails. You'll take in the endangered native coastal sage scrub plant wilderness, which is how the area looked before it was developed, and then hike to heights where you'll be able to see from the San Gabriel Mountains to Catalina. This hike is one of my favorites.</t>
  </si>
  <si>
    <t xml:space="preserve">This "best of" Crystal Cove hike takes you on a loop trail offering pristine coastal nature, ocean views, and well marked trails. </t>
  </si>
  <si>
    <t xml:space="preserve">8471 N Coast Hwy, Laguna Beach, CA, </t>
  </si>
  <si>
    <t>Laguna Beach - Laguna Coast Wilderness Park Hike</t>
  </si>
  <si>
    <t>https://hikingguy.com/hiking-trails/hiking-orange-county/laguna-coast-wilderness-park-hike/</t>
  </si>
  <si>
    <t>Laguna Coast Wilderness Park hike is a real gem in Southern California. Its 7000 acres of protected land are one of the last bastions of coastal wilderness. This park is what Orange County coast looked like before man started developing here. You'll enjoy pristine coastal sage scrub, ridges with panoramic views, wildlife including over 40 endangered species, and some unique ecology. The park has over 40 miles of trails, and this loop of 7.6 miles is what one park ranger once laid out for me as the "best of " loop, giving you a taste of everything the park has to offer.</t>
  </si>
  <si>
    <t xml:space="preserve">Laguna Coast Wilderness Park hike is a real gem in Southern California. Its 7000 acres of protected land are one of the last bastions of coastal wilderness. </t>
  </si>
  <si>
    <t xml:space="preserve">18751 Laguna Canyon Rd, Laguna Beach, CA </t>
  </si>
  <si>
    <t>Laguna coast</t>
  </si>
  <si>
    <t>Laguna Beach - Red Tail and Rattlesnake Loop Hike</t>
  </si>
  <si>
    <t>Laguna red</t>
  </si>
  <si>
    <t>https://hikingguy.com/hiking-trails/hiking-orange-county/red-tail-and-rattlesnake-loop/</t>
  </si>
  <si>
    <t>The Red Tail and Rattlesnake Loop hike is a fun and off-the-beaten path hike in Crystal Cove State Park that you can find me on every week. It offers incredible ocean views and a secluded single track through native wilderness, including endangered coastal sage scrub.</t>
  </si>
  <si>
    <t xml:space="preserve">The Red Tail and Rattlesnake Loop hike is a fun and off-the-beaten path hike in Crystal Cove State Park that you can find me on every week. </t>
  </si>
  <si>
    <t xml:space="preserve">Pacific Ridge Trailhead, Ridge Park Rd, Newport Beach, CA </t>
  </si>
  <si>
    <t>Laguna Beach - El Moro Canyon Loop Trail Hike</t>
  </si>
  <si>
    <t>Laguna el</t>
  </si>
  <si>
    <t>https://hikingguy.com/hiking-trails/hiking-orange-county/el-moro-canyon-loop-trail/</t>
  </si>
  <si>
    <t>The El Moro Canyon Loop Trail hike might be the perfect hike in Crystal Cove State Park. It's not too long, offers a bit of climbing, and showcases the incredible ocean views that Crystal Cove is famous for. My version of the hike offers the easiest parking and cuts off a section along the road.</t>
  </si>
  <si>
    <t>The El Moro Canyon Loop Trail hike might be the perfect hike in Crystal Cove State Park. It's not too long &amp; offers a bit of climbing.</t>
  </si>
  <si>
    <t xml:space="preserve">8471 N Coast Hwy, Laguna Beach, CA </t>
  </si>
  <si>
    <t>Laguna Beach - Car Wreck Trail Hike</t>
  </si>
  <si>
    <t>https://hikingguy.com/hiking-trails/hiking-orange-county/car-wreck-trail-laguna-beach/</t>
  </si>
  <si>
    <t>Laguna car</t>
  </si>
  <si>
    <t>Hidden in the hills high above Laguna Beach, far away from any road, lies the fabled "car wreck," 1946 Dodge 5-passenger coupe. Visiting the car wreck became so popular that Aliso and Wood Canyons Wilderness Park officially made a trail to it in 2013. Today it's a fun hike, offering not only a cool vintage car wreck but also expansive views from Catalina to Mt Baldy. This guide has a 3.8 mile loop that makes the climbing a little easier, or you can do a shorter hike to the car wreck and back.</t>
  </si>
  <si>
    <t>Hidden in the hills high above Laguna Beach, far away from any road, lies the fabled "car wreck," 1946 Dodge 5-passenger coupe. V</t>
  </si>
  <si>
    <t xml:space="preserve">3299 Alta Laguna Blvd, Laguna Beach, CA </t>
  </si>
  <si>
    <t xml:space="preserve">Laguna Beach - Barbara's Lake Hike </t>
  </si>
  <si>
    <t>https://hikingguy.com/hiking-trails/hiking-orange-county/barbaras-lake-hike-laguna-beach/</t>
  </si>
  <si>
    <t>Laguna barbara</t>
  </si>
  <si>
    <t>This easy hike to Barbara's Lake hike, one of Orange County's only naturally occurring lakes, is well worth a go. While close to suburbia, the lake lies within the James Dilley Greenbelt Preserve, an island of natural beauty where the land looks as it did hundreds of years ago. This guide will show you a pleasant loop that takes you to the lake, up a small climb, and then back along a ridge offering expansive views. You can also hike to Barbara's Lake and turn around for a shorter experience.</t>
  </si>
  <si>
    <t xml:space="preserve">This easy hike to Barbara's Lake hike, one of Orange County's only naturally occurring lakes, is well worth a go. </t>
  </si>
  <si>
    <t xml:space="preserve"> 350 Artisan Dr, Laguna Beach, CA </t>
  </si>
  <si>
    <t>Laguna Beach - Top of the World Hike</t>
  </si>
  <si>
    <t>Laguna top</t>
  </si>
  <si>
    <t>https://hikingguy.com/hiking-trails/hiking-orange-county/top-of-the-world-hike-laguna-beach/</t>
  </si>
  <si>
    <t>There are big payoffs on the short but steep Top of the World hike in Laguna Beach. You'll climb through the coastal scrub of Aliso and Wood Canyon Wilderness Park until you reach the panoramic vista at Top of the World. From there, you'll have views from Catalina Island to Mt Baldy, and there's even a bench where you can soak it all in.</t>
  </si>
  <si>
    <t xml:space="preserve">There are big payoffs on the short but steep Top of the World hike in Laguna Beach. </t>
  </si>
  <si>
    <t xml:space="preserve">580 Canyon Acres Dr, Laguna Beach, CA </t>
  </si>
  <si>
    <t>Newport Beach - Buck Gully Trail Guide</t>
  </si>
  <si>
    <t>https://hikingguy.com/hiking-trails/hiking-orange-county/buck-gully-trail-guide/</t>
  </si>
  <si>
    <t>The Buck Gully Trail hike is a peaceful and fun hike through a coastal watershed located in Newport Beach's foothills. What makes the hike remarkable is that the 1,200 acres of Buck Gully Reserve are tucked in between all the development around Newport Beach. So even though this hike is close to civilization, you feel like you are a world away as you hike your way up the canyon. It's an easy hike, great for all levels and families. And while the trail itself doesn't offer ocean views, I'll show you an optional loop that offers vistas to Palos Verdes and Long Beach.</t>
  </si>
  <si>
    <t xml:space="preserve">The Buck Gully Trail hike is a peaceful and fun hike through a coastal watershed located in Newport Beach's foothills. </t>
  </si>
  <si>
    <t xml:space="preserve">872 Poppy Ave, Corona Del Mar, CA </t>
  </si>
  <si>
    <t>Corona Del Mar - Buck Gully Trail Hike</t>
  </si>
  <si>
    <t>Corona</t>
  </si>
  <si>
    <t>Newport Beach - Upper Newport Bay Nature Preserve Hike</t>
  </si>
  <si>
    <t>https://hikingguy.com/hiking-trails/hiking-orange-county/upper-newport-bay-nature-preserve/</t>
  </si>
  <si>
    <t>Newport</t>
  </si>
  <si>
    <t>Nestled in the community of Newport Beach, the Bluff and Bay Trail Loop in Upper Newport Bay Nature Preserve hike offers great views of Upper Newport Bay and world-class wildlife spotting. The Upper Newport Bay Nature Preserve is home to some 200 bird species, including some endangered species, making it a top bird watching destination in the USA.</t>
  </si>
  <si>
    <t xml:space="preserve">The Bluff and Bay Trail Loop in Upper Newport Bay Nature Preserve hike offers great views of Upper Newport Bay and world-class wildlife spotting. </t>
  </si>
  <si>
    <t xml:space="preserve">2301 University Dr, Newport Beach, CA </t>
  </si>
  <si>
    <t>https://hikingguy.com/hiking-trails/hiking-orange-county/peters-canyon-hike/</t>
  </si>
  <si>
    <t>Orange</t>
  </si>
  <si>
    <t>This hike through Peters Canyon Regional Park is one of the most popular hikes in Orange County for a good reason. The hike has everything: well-maintained trails, climbs and flats, panoramic views, and wildlife spotting opportunities. This Peters Canyon hike takes you on a very-doable 2:30 hour loop of the park. Lots of side trails offer opportunities to make it shorter if you'd like.</t>
  </si>
  <si>
    <t>Orange - Peters Canyon Hike</t>
  </si>
  <si>
    <t xml:space="preserve">This hike through Peters Canyon Regional Park is one of the most popular hikes in Orange County for a good reason. </t>
  </si>
  <si>
    <t xml:space="preserve">8548 E. Canyon View Ave, Orange, CA </t>
  </si>
  <si>
    <t>San Juan Capistrano - Caspers Wilderness Park - Hike San Juan Hot Springs</t>
  </si>
  <si>
    <t>https://hikingguy.com/hiking-trails/hiking-orange-county/caspers-wilderness-park-hike-san-juan-hot-springs/</t>
  </si>
  <si>
    <t>San</t>
  </si>
  <si>
    <t>This is a a fun hike to San Juan Hot Springs, which is located in Caspers Wilderness Park, a lightly-visited, 8,000 acre, protected wilderness preserve in the foothills of the Santa Ana Mountains.  The San Juan Hot Springs were first opened in the late 1800s as a full blown resort, complete with cabins, soaking tubs, and pools. Over the years they've closed and opened again, with the latest version being closed down in 1992. Today you can hike to San Juan Hot Springs, but whether you can go in them is up for debate (see the article for more). This hike to the hot springs can be done as an 10.5 mile out-and-back trip, or you can do a longer 14 mile loop that circles through the ridges in Caspers Wilderness Park, offering incredible views.</t>
  </si>
  <si>
    <t>This is a a fun hike to San Juan Hot Springs, a lightly-visited, 8,000 acre, protected wilderness preserve in the foothills of the Santa Ana Mountains.  </t>
  </si>
  <si>
    <t>33401 Ortega Hwy, San Juan Capistrano, CA</t>
  </si>
  <si>
    <t>Silverado - Beeks Place Hike From Black Star Canyon</t>
  </si>
  <si>
    <t>https://hikingguy.com/hiking-trails/hiking-orange-county/beeks-place-hike-from-black-star-canyon/</t>
  </si>
  <si>
    <t>The Beeks Place hike takes you to the ruins of an old cabin compound built at a scenic spot high in the Santa Ana Mountains. From Beeks Place, you can see from San Gorgonio to Mt Baldy to Catalina. The hike is challenging, taking you 2000 feet up fire roads through the mountains, and along the way, you get epic views, hidden pastures, and even a Native American settlement. While Beeks Place might not be a big-name peak bagging experience, it is a nice long mountain hike that you can do all year.</t>
  </si>
  <si>
    <t xml:space="preserve">The Beeks Place hike takes you to the ruins of an old cabin compound built at a scenic spot high in the Santa Ana Mountains. </t>
  </si>
  <si>
    <t>Silverado beeks</t>
  </si>
  <si>
    <t xml:space="preserve">13333 Black Star Canyon Rd, Silverado, CA </t>
  </si>
  <si>
    <t>Silverado - Modjeska Peak Hike</t>
  </si>
  <si>
    <t>https://hikingguy.com/hiking-trails/hiking-orange-county/modjeska-peak-hike/</t>
  </si>
  <si>
    <t>Silverado mod</t>
  </si>
  <si>
    <t>The Modjeska Peak hike is challenging - long, steep, and sometimes primitive. The hike climbs to the second highest point in Orange County, Modjeska Peak. Modjeska Peak, at 5,499 feet, is the lower peak in Saddleback Mountain. The highest peak (and other peak in Saddleback Mountain) is Santiago Peak. The actual summit is undeveloped and much nicer than nearby Santiago Peak. This is a challenging hike. Don't try this hike without a good level of fitness.</t>
  </si>
  <si>
    <t xml:space="preserve">The Modjeska Peak hike is challenging - long, steep, and sometimes primitive. The hike climbs to the second highest point in Orange County, Modjeska Peak. </t>
  </si>
  <si>
    <t xml:space="preserve">31647-31741 Trabuco Creek Rd, Trabuco Canyon, CA </t>
  </si>
  <si>
    <t>Limestone Canyon Regional Park - The Sinks</t>
  </si>
  <si>
    <t>Silverado lime</t>
  </si>
  <si>
    <t>https://hikingguy.com/hiking-trails/hiking-orange-county/limestone-canyon-regional-park-the-sinks/</t>
  </si>
  <si>
    <t xml:space="preserve">East Santiago Canyon Rd. Silverado, CA </t>
  </si>
  <si>
    <t>Limestone Canyon Regional Park is an incredibly beautiful area to hike, but it's also home to a famous area called "The Sinks," also known as "the little Grand Canyon of Orange County." Limestone Canyon hike is not always open to the public, but this easy trail guide will show you how to visit and see The Sinks for yourself. Before visiting Limestone Canyon Regional Park, you must register for an open event.  Visit LetsGoOutside.org</t>
  </si>
  <si>
    <t xml:space="preserve">Limestone Canyon Regional Park hike is not always open to the public, but this easy trail guide will show you how to visit and see The Sinks for yourself. </t>
  </si>
  <si>
    <t>Silverado - Limestone Canyon Regional Park, The Sinks</t>
  </si>
  <si>
    <t>Silverado - Black Star Canyon Falls Hike</t>
  </si>
  <si>
    <t>https://hikingguy.com/hiking-trails/hiking-orange-county/how-to-hike-black-star-canyon-falls/</t>
  </si>
  <si>
    <t>Silverado black</t>
  </si>
  <si>
    <t>The Black Star Canyon Falls hike is a local classic. You'll hike through mellow country roads and then cut down into the dramatic (and maybe haunted?) canyon along Black Star Creek. The scramble up along the creek is challenging but doable by almost anyone. This guide has everything you need to navigate the hike safely and get to the falls.</t>
  </si>
  <si>
    <t xml:space="preserve">Black Star Canyon Falls hike is a local classic. You'll hike through country roads &amp; cut down into the dramatic (and maybe haunted?) canyon the Creek. </t>
  </si>
  <si>
    <t>Trabuco Canyon - Whiting Ranch Hiking: Red Rock Canyon Hike</t>
  </si>
  <si>
    <t>Trabuco</t>
  </si>
  <si>
    <t>https://hikingguy.com/hiking-trails/hiking-orange-county/whiting-ranch-hiking-red-rock-canyon/</t>
  </si>
  <si>
    <t>There's a few Whiting Ranch hiking options, but Red Rock Canyon is the most popular for a good reason. The gently climbing trail makes it way up a oak woodland canyon, eventually ending in a smooth red rock canyon like you'd see in Arizona (but unique to Orange County). Whiting Ranch Wilderness Park is rich with wildlife. I often see squirrels and lizards, and less often deer. The hike is mellow, easy, and is great for families.</t>
  </si>
  <si>
    <t>There's a few hiking options, but Red Rock Canyon is the most popular for a good reason. The gently climbing trail makes it way up a woodland canyon.</t>
  </si>
  <si>
    <t xml:space="preserve">26701 Portola Pkwy, Foothill Ranch, CA </t>
  </si>
  <si>
    <t>Brea</t>
  </si>
  <si>
    <t xml:space="preserve">4442 Carbon Canyon Rd, Brea, CA </t>
  </si>
  <si>
    <t>Brea - Redwood Grove Hike Guide (Carbon Canyon)</t>
  </si>
  <si>
    <t>It's an easy hike to visit Southern California's largest Redwood Grove, located in Carbon Canyon Regional Park. The Redwood grove, while not as majestic as those in Northern California, is still impressive. You'll be able to wander in the shade of over 200 Redwoods, which would not survive in the hot, dry Southern California climate without the loving attention of OC Parks. It's a great hike that's easy for families and beginners.</t>
  </si>
  <si>
    <t xml:space="preserve">The Redwood grove hike, while not as majestic as those in Northern California, is still impressive. </t>
  </si>
  <si>
    <t>https://hikingguy.com/hiking-trails/hiking-orange-county/redwood-grove-hike-guide-carbon-canyon-brea/</t>
  </si>
  <si>
    <t>Laguna Beach - Coast Wilderness Park Hike</t>
  </si>
  <si>
    <t>Top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</si>
</sst>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13"/>
      <color rgb="FF202124"/>
      <name val="Aptos Narrow"/>
      <family val="2"/>
      <scheme val="minor"/>
    </font>
    <font>
      <sz val="8"/>
      <name val="Times New Roman"/>
      <family val="1"/>
    </font>
    <font>
      <sz val="8"/>
      <name val="Aptos Narrow"/>
      <family val="2"/>
      <scheme val="minor"/>
    </font>
    <font>
      <sz val="7"/>
      <color rgb="FFFBC9EF"/>
      <name val="Arial"/>
      <family val="2"/>
    </font>
  </fonts>
  <fills count="5">
    <fill>
      <patternFill patternType="none"/>
    </fill>
    <fill>
      <patternFill patternType="gray125"/>
    </fill>
    <fill>
      <patternFill patternType="solid">
        <fgColor theme="0" tint="-0.249977111117893"/>
        <bgColor indexed="64"/>
      </patternFill>
    </fill>
    <fill>
      <patternFill patternType="solid">
        <fgColor theme="5"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3" fillId="2" borderId="1" xfId="0" applyFont="1" applyFill="1" applyBorder="1" applyAlignment="1">
      <alignment horizontal="center" wrapText="1"/>
    </xf>
    <xf numFmtId="0" fontId="0" fillId="3" borderId="0" xfId="0" applyFill="1"/>
    <xf numFmtId="0" fontId="1" fillId="3" borderId="1" xfId="0" applyFont="1" applyFill="1" applyBorder="1" applyAlignment="1">
      <alignment horizontal="center"/>
    </xf>
    <xf numFmtId="0" fontId="2" fillId="4" borderId="1" xfId="0" applyFont="1" applyFill="1" applyBorder="1"/>
    <xf numFmtId="0" fontId="2" fillId="4" borderId="1" xfId="0" applyFont="1" applyFill="1" applyBorder="1" applyAlignment="1">
      <alignment wrapText="1"/>
    </xf>
    <xf numFmtId="0" fontId="2" fillId="4" borderId="1" xfId="0" applyFont="1" applyFill="1" applyBorder="1" applyAlignment="1">
      <alignment horizontal="left"/>
    </xf>
    <xf numFmtId="0" fontId="4" fillId="4" borderId="1" xfId="0" applyFont="1" applyFill="1" applyBorder="1" applyAlignment="1">
      <alignment wrapText="1"/>
    </xf>
    <xf numFmtId="14" fontId="2" fillId="4" borderId="1" xfId="0" applyNumberFormat="1" applyFont="1" applyFill="1" applyBorder="1"/>
    <xf numFmtId="0" fontId="0" fillId="4" borderId="0" xfId="0" applyFill="1"/>
    <xf numFmtId="0" fontId="0" fillId="0" borderId="1" xfId="0" applyBorder="1"/>
    <xf numFmtId="0" fontId="0" fillId="3" borderId="1" xfId="0" applyFill="1" applyBorder="1"/>
    <xf numFmtId="0" fontId="5" fillId="4" borderId="1" xfId="0" applyFont="1" applyFill="1" applyBorder="1" applyAlignment="1">
      <alignment vertical="center" wrapText="1"/>
    </xf>
    <xf numFmtId="0" fontId="2" fillId="4" borderId="1" xfId="0" applyFont="1" applyFill="1" applyBorder="1" applyAlignment="1">
      <alignment horizontal="left"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35"/>
  <sheetViews>
    <sheetView tabSelected="1" topLeftCell="N1" zoomScale="80" zoomScaleNormal="80" workbookViewId="0">
      <pane ySplit="1" topLeftCell="A2" activePane="bottomLeft" state="frozen"/>
      <selection pane="bottomLeft" activeCell="C2" sqref="C2"/>
    </sheetView>
  </sheetViews>
  <sheetFormatPr defaultRowHeight="14.4" x14ac:dyDescent="0.3"/>
  <cols>
    <col min="1" max="1" width="40.6640625" customWidth="1"/>
    <col min="2" max="2" width="30.6640625" customWidth="1"/>
    <col min="3" max="3" width="37.77734375" customWidth="1"/>
    <col min="4" max="4" width="31" customWidth="1"/>
    <col min="5" max="5" width="6.77734375" customWidth="1"/>
    <col min="6" max="6" width="23.88671875" customWidth="1"/>
    <col min="7" max="7" width="11.88671875" customWidth="1"/>
    <col min="8" max="8" width="38.44140625" customWidth="1"/>
    <col min="9" max="9" width="26" customWidth="1"/>
    <col min="10" max="10" width="40.6640625" customWidth="1"/>
    <col min="11" max="11" width="14.44140625" style="4" customWidth="1"/>
    <col min="12" max="12" width="14.21875" style="4" customWidth="1"/>
    <col min="13" max="13" width="23" customWidth="1"/>
    <col min="14" max="14" width="19.21875" customWidth="1"/>
    <col min="15" max="15" width="25.6640625" customWidth="1"/>
    <col min="16" max="16" width="22.44140625" customWidth="1"/>
    <col min="17" max="17" width="19.77734375" customWidth="1"/>
    <col min="18" max="18" width="22.21875" customWidth="1"/>
  </cols>
  <sheetData>
    <row r="1" spans="1:17" ht="34.799999999999997" x14ac:dyDescent="0.35">
      <c r="A1" s="1" t="s">
        <v>0</v>
      </c>
      <c r="B1" s="1" t="s">
        <v>11</v>
      </c>
      <c r="C1" s="1" t="s">
        <v>162</v>
      </c>
      <c r="D1" s="2" t="s">
        <v>12</v>
      </c>
      <c r="E1" s="3" t="s">
        <v>13</v>
      </c>
      <c r="F1" s="1" t="s">
        <v>1</v>
      </c>
      <c r="G1" s="1" t="s">
        <v>2</v>
      </c>
      <c r="H1" s="1" t="s">
        <v>3</v>
      </c>
      <c r="I1" s="2" t="s">
        <v>10</v>
      </c>
      <c r="J1" s="1" t="s">
        <v>4</v>
      </c>
      <c r="K1" s="5" t="s">
        <v>5</v>
      </c>
      <c r="L1" s="5" t="s">
        <v>6</v>
      </c>
      <c r="M1" s="1" t="s">
        <v>7</v>
      </c>
      <c r="N1" s="1" t="s">
        <v>8</v>
      </c>
      <c r="O1" s="1" t="s">
        <v>9</v>
      </c>
      <c r="P1" s="2" t="s">
        <v>14</v>
      </c>
      <c r="Q1" s="1" t="s">
        <v>8</v>
      </c>
    </row>
    <row r="2" spans="1:17" s="11" customFormat="1" ht="118.05" customHeight="1" x14ac:dyDescent="0.35">
      <c r="A2" s="7" t="s">
        <v>16</v>
      </c>
      <c r="B2" s="7" t="s">
        <v>18</v>
      </c>
      <c r="C2" s="14" t="s">
        <v>27</v>
      </c>
      <c r="D2" s="14" t="s">
        <v>23</v>
      </c>
      <c r="E2" s="7">
        <f t="shared" ref="E2:E24" si="0">LEN(D2)</f>
        <v>160</v>
      </c>
      <c r="F2" s="6" t="s">
        <v>19</v>
      </c>
      <c r="G2" s="9">
        <v>92656</v>
      </c>
      <c r="H2" s="8" t="s">
        <v>25</v>
      </c>
      <c r="I2" s="6" t="s">
        <v>24</v>
      </c>
      <c r="J2" s="7" t="s">
        <v>22</v>
      </c>
      <c r="K2" s="10">
        <v>45292</v>
      </c>
      <c r="L2" s="10">
        <v>410534</v>
      </c>
      <c r="M2" s="7" t="s">
        <v>20</v>
      </c>
      <c r="N2" s="7" t="s">
        <v>21</v>
      </c>
      <c r="O2" s="6" t="str">
        <f t="shared" ref="O2:O24" si="1">I2</f>
        <v>Aliso</v>
      </c>
      <c r="P2" s="6" t="s">
        <v>26</v>
      </c>
      <c r="Q2" s="6" t="str">
        <f t="shared" ref="Q2:Q24" si="2">N2</f>
        <v>Hikes</v>
      </c>
    </row>
    <row r="3" spans="1:17" s="11" customFormat="1" ht="82.5" customHeight="1" x14ac:dyDescent="0.35">
      <c r="A3" s="7" t="s">
        <v>17</v>
      </c>
      <c r="B3" s="7" t="s">
        <v>28</v>
      </c>
      <c r="C3" s="14" t="s">
        <v>30</v>
      </c>
      <c r="D3" s="14" t="s">
        <v>31</v>
      </c>
      <c r="E3" s="7">
        <f t="shared" si="0"/>
        <v>139</v>
      </c>
      <c r="F3" s="6" t="s">
        <v>19</v>
      </c>
      <c r="G3" s="9">
        <v>92807</v>
      </c>
      <c r="H3" s="8" t="s">
        <v>32</v>
      </c>
      <c r="I3" s="6" t="s">
        <v>15</v>
      </c>
      <c r="J3" s="7" t="s">
        <v>29</v>
      </c>
      <c r="K3" s="10">
        <v>45292</v>
      </c>
      <c r="L3" s="10">
        <v>410534</v>
      </c>
      <c r="M3" s="7" t="s">
        <v>20</v>
      </c>
      <c r="N3" s="7" t="s">
        <v>21</v>
      </c>
      <c r="O3" s="6" t="str">
        <f t="shared" si="1"/>
        <v>Anaheim</v>
      </c>
      <c r="P3" s="6" t="s">
        <v>26</v>
      </c>
      <c r="Q3" s="6" t="str">
        <f t="shared" si="2"/>
        <v>Hikes</v>
      </c>
    </row>
    <row r="4" spans="1:17" s="11" customFormat="1" ht="104.55" customHeight="1" x14ac:dyDescent="0.35">
      <c r="A4" s="7" t="s">
        <v>157</v>
      </c>
      <c r="B4" s="7" t="s">
        <v>157</v>
      </c>
      <c r="C4" s="14" t="s">
        <v>158</v>
      </c>
      <c r="D4" s="14" t="s">
        <v>159</v>
      </c>
      <c r="E4" s="7">
        <f t="shared" si="0"/>
        <v>100</v>
      </c>
      <c r="F4" s="6" t="s">
        <v>19</v>
      </c>
      <c r="G4" s="9">
        <v>92823</v>
      </c>
      <c r="H4" s="15" t="s">
        <v>156</v>
      </c>
      <c r="I4" s="6" t="s">
        <v>155</v>
      </c>
      <c r="J4" s="7" t="s">
        <v>160</v>
      </c>
      <c r="K4" s="10">
        <v>45292</v>
      </c>
      <c r="L4" s="10">
        <v>410534</v>
      </c>
      <c r="M4" s="7" t="s">
        <v>20</v>
      </c>
      <c r="N4" s="7" t="s">
        <v>21</v>
      </c>
      <c r="O4" s="6" t="str">
        <f t="shared" si="1"/>
        <v>Brea</v>
      </c>
      <c r="P4" s="6" t="s">
        <v>26</v>
      </c>
      <c r="Q4" s="6" t="str">
        <f t="shared" si="2"/>
        <v>Hikes</v>
      </c>
    </row>
    <row r="5" spans="1:17" s="11" customFormat="1" ht="129.44999999999999" customHeight="1" x14ac:dyDescent="0.35">
      <c r="A5" s="7" t="s">
        <v>100</v>
      </c>
      <c r="B5" s="7" t="s">
        <v>105</v>
      </c>
      <c r="C5" s="14" t="s">
        <v>102</v>
      </c>
      <c r="D5" s="14" t="s">
        <v>103</v>
      </c>
      <c r="E5" s="7">
        <f t="shared" si="0"/>
        <v>119</v>
      </c>
      <c r="F5" s="6" t="s">
        <v>19</v>
      </c>
      <c r="G5" s="9">
        <v>92625</v>
      </c>
      <c r="H5" s="15" t="s">
        <v>104</v>
      </c>
      <c r="I5" s="6" t="s">
        <v>106</v>
      </c>
      <c r="J5" s="7" t="s">
        <v>101</v>
      </c>
      <c r="K5" s="10">
        <v>45292</v>
      </c>
      <c r="L5" s="10">
        <v>410534</v>
      </c>
      <c r="M5" s="7" t="s">
        <v>20</v>
      </c>
      <c r="N5" s="7" t="s">
        <v>21</v>
      </c>
      <c r="O5" s="6" t="str">
        <f t="shared" si="1"/>
        <v>Corona</v>
      </c>
      <c r="P5" s="6" t="s">
        <v>26</v>
      </c>
      <c r="Q5" s="6" t="str">
        <f t="shared" si="2"/>
        <v>Hikes</v>
      </c>
    </row>
    <row r="6" spans="1:17" s="11" customFormat="1" ht="100.05" customHeight="1" x14ac:dyDescent="0.35">
      <c r="A6" s="7" t="s">
        <v>33</v>
      </c>
      <c r="B6" s="7" t="s">
        <v>38</v>
      </c>
      <c r="C6" s="14" t="s">
        <v>35</v>
      </c>
      <c r="D6" s="14" t="s">
        <v>39</v>
      </c>
      <c r="E6" s="7">
        <f t="shared" si="0"/>
        <v>160</v>
      </c>
      <c r="F6" s="6" t="s">
        <v>19</v>
      </c>
      <c r="G6" s="9">
        <v>92649</v>
      </c>
      <c r="H6" s="15" t="s">
        <v>36</v>
      </c>
      <c r="I6" s="6" t="s">
        <v>37</v>
      </c>
      <c r="J6" s="7" t="s">
        <v>34</v>
      </c>
      <c r="K6" s="10">
        <v>45292</v>
      </c>
      <c r="L6" s="10">
        <v>410534</v>
      </c>
      <c r="M6" s="7" t="s">
        <v>20</v>
      </c>
      <c r="N6" s="7" t="s">
        <v>21</v>
      </c>
      <c r="O6" s="6" t="str">
        <f t="shared" si="1"/>
        <v>Huntington</v>
      </c>
      <c r="P6" s="6" t="s">
        <v>26</v>
      </c>
      <c r="Q6" s="6" t="str">
        <f t="shared" si="2"/>
        <v>Hikes</v>
      </c>
    </row>
    <row r="7" spans="1:17" s="11" customFormat="1" ht="108.45" customHeight="1" x14ac:dyDescent="0.35">
      <c r="A7" s="7" t="s">
        <v>40</v>
      </c>
      <c r="B7" s="7" t="s">
        <v>40</v>
      </c>
      <c r="C7" s="14" t="s">
        <v>43</v>
      </c>
      <c r="D7" s="14" t="s">
        <v>44</v>
      </c>
      <c r="E7" s="7">
        <f t="shared" si="0"/>
        <v>142</v>
      </c>
      <c r="F7" s="6" t="s">
        <v>19</v>
      </c>
      <c r="G7" s="9">
        <v>92603</v>
      </c>
      <c r="H7" s="15" t="s">
        <v>45</v>
      </c>
      <c r="I7" s="6" t="s">
        <v>42</v>
      </c>
      <c r="J7" s="7" t="s">
        <v>41</v>
      </c>
      <c r="K7" s="10">
        <v>45292</v>
      </c>
      <c r="L7" s="10">
        <v>410534</v>
      </c>
      <c r="M7" s="7" t="s">
        <v>20</v>
      </c>
      <c r="N7" s="7" t="s">
        <v>21</v>
      </c>
      <c r="O7" s="6" t="str">
        <f t="shared" si="1"/>
        <v>Irvine bommer</v>
      </c>
      <c r="P7" s="6" t="s">
        <v>26</v>
      </c>
      <c r="Q7" s="6" t="str">
        <f t="shared" si="2"/>
        <v>Hikes</v>
      </c>
    </row>
    <row r="8" spans="1:17" s="11" customFormat="1" ht="100.05" customHeight="1" x14ac:dyDescent="0.35">
      <c r="A8" s="7" t="s">
        <v>46</v>
      </c>
      <c r="B8" s="7" t="s">
        <v>46</v>
      </c>
      <c r="C8" s="14" t="s">
        <v>49</v>
      </c>
      <c r="D8" s="14" t="s">
        <v>50</v>
      </c>
      <c r="E8" s="7">
        <f t="shared" si="0"/>
        <v>160</v>
      </c>
      <c r="F8" s="6" t="s">
        <v>19</v>
      </c>
      <c r="G8" s="9">
        <v>92603</v>
      </c>
      <c r="H8" s="15" t="s">
        <v>51</v>
      </c>
      <c r="I8" s="6" t="s">
        <v>48</v>
      </c>
      <c r="J8" s="7" t="s">
        <v>47</v>
      </c>
      <c r="K8" s="10">
        <v>45292</v>
      </c>
      <c r="L8" s="10">
        <v>410534</v>
      </c>
      <c r="M8" s="7" t="s">
        <v>20</v>
      </c>
      <c r="N8" s="7" t="s">
        <v>21</v>
      </c>
      <c r="O8" s="6" t="str">
        <f t="shared" si="1"/>
        <v>Irvine quail</v>
      </c>
      <c r="P8" s="6" t="s">
        <v>26</v>
      </c>
      <c r="Q8" s="6" t="str">
        <f t="shared" si="2"/>
        <v>Hikes</v>
      </c>
    </row>
    <row r="9" spans="1:17" s="11" customFormat="1" ht="127.5" customHeight="1" x14ac:dyDescent="0.35">
      <c r="A9" s="7" t="s">
        <v>88</v>
      </c>
      <c r="B9" s="7" t="s">
        <v>88</v>
      </c>
      <c r="C9" s="14" t="s">
        <v>91</v>
      </c>
      <c r="D9" s="14" t="s">
        <v>92</v>
      </c>
      <c r="E9" s="7">
        <f t="shared" si="0"/>
        <v>114</v>
      </c>
      <c r="F9" s="6" t="s">
        <v>19</v>
      </c>
      <c r="G9" s="9">
        <v>92651</v>
      </c>
      <c r="H9" s="15" t="s">
        <v>93</v>
      </c>
      <c r="I9" s="6" t="s">
        <v>90</v>
      </c>
      <c r="J9" s="7" t="s">
        <v>89</v>
      </c>
      <c r="K9" s="10">
        <v>45292</v>
      </c>
      <c r="L9" s="10">
        <v>410534</v>
      </c>
      <c r="M9" s="7" t="s">
        <v>20</v>
      </c>
      <c r="N9" s="7" t="s">
        <v>21</v>
      </c>
      <c r="O9" s="6" t="str">
        <f t="shared" si="1"/>
        <v>Laguna barbara</v>
      </c>
      <c r="P9" s="6" t="s">
        <v>26</v>
      </c>
      <c r="Q9" s="6" t="str">
        <f t="shared" si="2"/>
        <v>Hikes</v>
      </c>
    </row>
    <row r="10" spans="1:17" s="11" customFormat="1" ht="84.45" customHeight="1" x14ac:dyDescent="0.35">
      <c r="A10" s="7" t="s">
        <v>82</v>
      </c>
      <c r="B10" s="7" t="s">
        <v>82</v>
      </c>
      <c r="C10" s="14" t="s">
        <v>85</v>
      </c>
      <c r="D10" s="14" t="s">
        <v>86</v>
      </c>
      <c r="E10" s="7">
        <f t="shared" si="0"/>
        <v>129</v>
      </c>
      <c r="F10" s="6" t="s">
        <v>19</v>
      </c>
      <c r="G10" s="9">
        <v>92651</v>
      </c>
      <c r="H10" s="15" t="s">
        <v>87</v>
      </c>
      <c r="I10" s="6" t="s">
        <v>84</v>
      </c>
      <c r="J10" s="7" t="s">
        <v>83</v>
      </c>
      <c r="K10" s="10">
        <v>45292</v>
      </c>
      <c r="L10" s="10">
        <v>410534</v>
      </c>
      <c r="M10" s="7" t="s">
        <v>20</v>
      </c>
      <c r="N10" s="7" t="s">
        <v>21</v>
      </c>
      <c r="O10" s="6" t="str">
        <f t="shared" si="1"/>
        <v>Laguna car</v>
      </c>
      <c r="P10" s="6" t="s">
        <v>26</v>
      </c>
      <c r="Q10" s="6" t="str">
        <f t="shared" si="2"/>
        <v>Hikes</v>
      </c>
    </row>
    <row r="11" spans="1:17" s="11" customFormat="1" ht="87" customHeight="1" x14ac:dyDescent="0.35">
      <c r="A11" s="7" t="s">
        <v>64</v>
      </c>
      <c r="B11" s="7" t="s">
        <v>161</v>
      </c>
      <c r="C11" s="14" t="s">
        <v>66</v>
      </c>
      <c r="D11" s="14" t="s">
        <v>67</v>
      </c>
      <c r="E11" s="7">
        <f t="shared" si="0"/>
        <v>157</v>
      </c>
      <c r="F11" s="6" t="s">
        <v>19</v>
      </c>
      <c r="G11" s="9">
        <v>92651</v>
      </c>
      <c r="H11" s="15" t="s">
        <v>68</v>
      </c>
      <c r="I11" s="6" t="s">
        <v>69</v>
      </c>
      <c r="J11" s="7" t="s">
        <v>65</v>
      </c>
      <c r="K11" s="10">
        <v>45292</v>
      </c>
      <c r="L11" s="10">
        <v>410534</v>
      </c>
      <c r="M11" s="7" t="s">
        <v>20</v>
      </c>
      <c r="N11" s="7" t="s">
        <v>21</v>
      </c>
      <c r="O11" s="6" t="str">
        <f t="shared" si="1"/>
        <v>Laguna coast</v>
      </c>
      <c r="P11" s="6" t="s">
        <v>26</v>
      </c>
      <c r="Q11" s="6" t="str">
        <f t="shared" si="2"/>
        <v>Hikes</v>
      </c>
    </row>
    <row r="12" spans="1:17" s="11" customFormat="1" ht="106.5" customHeight="1" x14ac:dyDescent="0.35">
      <c r="A12" s="7" t="s">
        <v>58</v>
      </c>
      <c r="B12" s="7" t="s">
        <v>58</v>
      </c>
      <c r="C12" s="14" t="s">
        <v>61</v>
      </c>
      <c r="D12" s="14" t="s">
        <v>62</v>
      </c>
      <c r="E12" s="7">
        <f t="shared" si="0"/>
        <v>130</v>
      </c>
      <c r="F12" s="6" t="s">
        <v>19</v>
      </c>
      <c r="G12" s="9">
        <v>92651</v>
      </c>
      <c r="H12" s="15" t="s">
        <v>63</v>
      </c>
      <c r="I12" s="6" t="s">
        <v>60</v>
      </c>
      <c r="J12" s="7" t="s">
        <v>59</v>
      </c>
      <c r="K12" s="10">
        <v>45292</v>
      </c>
      <c r="L12" s="10">
        <v>410534</v>
      </c>
      <c r="M12" s="7" t="s">
        <v>20</v>
      </c>
      <c r="N12" s="7" t="s">
        <v>21</v>
      </c>
      <c r="O12" s="6" t="str">
        <f t="shared" si="1"/>
        <v>Laguna crystal cove best</v>
      </c>
      <c r="P12" s="6" t="s">
        <v>26</v>
      </c>
      <c r="Q12" s="6" t="str">
        <f t="shared" si="2"/>
        <v>Hikes</v>
      </c>
    </row>
    <row r="13" spans="1:17" s="11" customFormat="1" ht="126.45" customHeight="1" x14ac:dyDescent="0.35">
      <c r="A13" s="7" t="s">
        <v>52</v>
      </c>
      <c r="B13" s="7" t="s">
        <v>52</v>
      </c>
      <c r="C13" s="14" t="s">
        <v>54</v>
      </c>
      <c r="D13" s="14" t="s">
        <v>55</v>
      </c>
      <c r="E13" s="7">
        <f t="shared" si="0"/>
        <v>148</v>
      </c>
      <c r="F13" s="6" t="s">
        <v>19</v>
      </c>
      <c r="G13" s="9">
        <v>92651</v>
      </c>
      <c r="H13" s="15" t="s">
        <v>56</v>
      </c>
      <c r="I13" s="6" t="s">
        <v>57</v>
      </c>
      <c r="J13" s="7" t="s">
        <v>53</v>
      </c>
      <c r="K13" s="10">
        <v>45292</v>
      </c>
      <c r="L13" s="10">
        <v>410534</v>
      </c>
      <c r="M13" s="7" t="s">
        <v>20</v>
      </c>
      <c r="N13" s="7" t="s">
        <v>21</v>
      </c>
      <c r="O13" s="6" t="str">
        <f t="shared" si="1"/>
        <v>Laguna crystal cove red</v>
      </c>
      <c r="P13" s="6" t="s">
        <v>26</v>
      </c>
      <c r="Q13" s="6" t="str">
        <f t="shared" si="2"/>
        <v>Hikes</v>
      </c>
    </row>
    <row r="14" spans="1:17" s="11" customFormat="1" ht="91.5" customHeight="1" x14ac:dyDescent="0.35">
      <c r="A14" s="7" t="s">
        <v>76</v>
      </c>
      <c r="B14" s="7" t="s">
        <v>76</v>
      </c>
      <c r="C14" s="14" t="s">
        <v>79</v>
      </c>
      <c r="D14" s="14" t="s">
        <v>80</v>
      </c>
      <c r="E14" s="7">
        <f t="shared" si="0"/>
        <v>134</v>
      </c>
      <c r="F14" s="6" t="s">
        <v>19</v>
      </c>
      <c r="G14" s="9">
        <v>92651</v>
      </c>
      <c r="H14" s="15" t="s">
        <v>81</v>
      </c>
      <c r="I14" s="6" t="s">
        <v>77</v>
      </c>
      <c r="J14" s="7" t="s">
        <v>78</v>
      </c>
      <c r="K14" s="10">
        <v>45292</v>
      </c>
      <c r="L14" s="10">
        <v>410534</v>
      </c>
      <c r="M14" s="7" t="s">
        <v>20</v>
      </c>
      <c r="N14" s="7" t="s">
        <v>21</v>
      </c>
      <c r="O14" s="6" t="str">
        <f t="shared" si="1"/>
        <v>Laguna el</v>
      </c>
      <c r="P14" s="6" t="s">
        <v>26</v>
      </c>
      <c r="Q14" s="6" t="str">
        <f t="shared" si="2"/>
        <v>Hikes</v>
      </c>
    </row>
    <row r="15" spans="1:17" s="11" customFormat="1" ht="132.44999999999999" customHeight="1" x14ac:dyDescent="0.35">
      <c r="A15" s="7" t="s">
        <v>70</v>
      </c>
      <c r="B15" s="7" t="s">
        <v>70</v>
      </c>
      <c r="C15" s="14" t="s">
        <v>73</v>
      </c>
      <c r="D15" s="14" t="s">
        <v>74</v>
      </c>
      <c r="E15" s="7">
        <f t="shared" si="0"/>
        <v>140</v>
      </c>
      <c r="F15" s="6" t="s">
        <v>19</v>
      </c>
      <c r="G15" s="9">
        <v>92657</v>
      </c>
      <c r="H15" s="15" t="s">
        <v>75</v>
      </c>
      <c r="I15" s="6" t="s">
        <v>71</v>
      </c>
      <c r="J15" s="7" t="s">
        <v>72</v>
      </c>
      <c r="K15" s="10">
        <v>45292</v>
      </c>
      <c r="L15" s="10">
        <v>410534</v>
      </c>
      <c r="M15" s="7" t="s">
        <v>20</v>
      </c>
      <c r="N15" s="7" t="s">
        <v>21</v>
      </c>
      <c r="O15" s="6" t="str">
        <f t="shared" si="1"/>
        <v>Laguna red</v>
      </c>
      <c r="P15" s="6" t="s">
        <v>26</v>
      </c>
      <c r="Q15" s="6" t="str">
        <f t="shared" si="2"/>
        <v>Hikes</v>
      </c>
    </row>
    <row r="16" spans="1:17" s="11" customFormat="1" ht="100.5" customHeight="1" x14ac:dyDescent="0.35">
      <c r="A16" s="7" t="s">
        <v>94</v>
      </c>
      <c r="B16" s="7" t="s">
        <v>94</v>
      </c>
      <c r="C16" s="14" t="s">
        <v>97</v>
      </c>
      <c r="D16" s="14" t="s">
        <v>98</v>
      </c>
      <c r="E16" s="7">
        <f t="shared" si="0"/>
        <v>84</v>
      </c>
      <c r="F16" s="6" t="s">
        <v>19</v>
      </c>
      <c r="G16" s="9">
        <v>92651</v>
      </c>
      <c r="H16" s="15" t="s">
        <v>99</v>
      </c>
      <c r="I16" s="6" t="s">
        <v>95</v>
      </c>
      <c r="J16" s="7" t="s">
        <v>96</v>
      </c>
      <c r="K16" s="10">
        <v>45292</v>
      </c>
      <c r="L16" s="10">
        <v>410534</v>
      </c>
      <c r="M16" s="7" t="s">
        <v>20</v>
      </c>
      <c r="N16" s="7" t="s">
        <v>21</v>
      </c>
      <c r="O16" s="6" t="str">
        <f t="shared" si="1"/>
        <v>Laguna top</v>
      </c>
      <c r="P16" s="6" t="s">
        <v>26</v>
      </c>
      <c r="Q16" s="6" t="str">
        <f t="shared" si="2"/>
        <v>Hikes</v>
      </c>
    </row>
    <row r="17" spans="1:17" s="11" customFormat="1" ht="100.05" customHeight="1" x14ac:dyDescent="0.35">
      <c r="A17" s="7" t="s">
        <v>107</v>
      </c>
      <c r="B17" s="7" t="s">
        <v>107</v>
      </c>
      <c r="C17" s="14" t="s">
        <v>110</v>
      </c>
      <c r="D17" s="14" t="s">
        <v>111</v>
      </c>
      <c r="E17" s="7">
        <f t="shared" si="0"/>
        <v>146</v>
      </c>
      <c r="F17" s="6" t="s">
        <v>19</v>
      </c>
      <c r="G17" s="9">
        <v>92660</v>
      </c>
      <c r="H17" s="15" t="s">
        <v>112</v>
      </c>
      <c r="I17" s="6" t="s">
        <v>109</v>
      </c>
      <c r="J17" s="7" t="s">
        <v>108</v>
      </c>
      <c r="K17" s="10">
        <v>45292</v>
      </c>
      <c r="L17" s="10">
        <v>410534</v>
      </c>
      <c r="M17" s="7" t="s">
        <v>20</v>
      </c>
      <c r="N17" s="7" t="s">
        <v>21</v>
      </c>
      <c r="O17" s="6" t="str">
        <f t="shared" si="1"/>
        <v>Newport</v>
      </c>
      <c r="P17" s="6" t="s">
        <v>26</v>
      </c>
      <c r="Q17" s="6" t="str">
        <f t="shared" si="2"/>
        <v>Hikes</v>
      </c>
    </row>
    <row r="18" spans="1:17" s="11" customFormat="1" ht="169.5" customHeight="1" x14ac:dyDescent="0.35">
      <c r="A18" s="7" t="s">
        <v>116</v>
      </c>
      <c r="B18" s="7" t="s">
        <v>116</v>
      </c>
      <c r="C18" s="14" t="s">
        <v>115</v>
      </c>
      <c r="D18" s="14" t="s">
        <v>117</v>
      </c>
      <c r="E18" s="7">
        <f t="shared" si="0"/>
        <v>115</v>
      </c>
      <c r="F18" s="6" t="s">
        <v>19</v>
      </c>
      <c r="G18" s="9">
        <v>92869</v>
      </c>
      <c r="H18" s="15" t="s">
        <v>118</v>
      </c>
      <c r="I18" s="6" t="s">
        <v>114</v>
      </c>
      <c r="J18" s="7" t="s">
        <v>113</v>
      </c>
      <c r="K18" s="10">
        <v>45292</v>
      </c>
      <c r="L18" s="10">
        <v>410534</v>
      </c>
      <c r="M18" s="7" t="s">
        <v>20</v>
      </c>
      <c r="N18" s="7" t="s">
        <v>21</v>
      </c>
      <c r="O18" s="6" t="str">
        <f t="shared" si="1"/>
        <v>Orange</v>
      </c>
      <c r="P18" s="6" t="s">
        <v>26</v>
      </c>
      <c r="Q18" s="6" t="str">
        <f t="shared" si="2"/>
        <v>Hikes</v>
      </c>
    </row>
    <row r="19" spans="1:17" s="11" customFormat="1" ht="111" customHeight="1" x14ac:dyDescent="0.35">
      <c r="A19" s="7" t="s">
        <v>119</v>
      </c>
      <c r="B19" s="7" t="s">
        <v>119</v>
      </c>
      <c r="C19" s="14" t="s">
        <v>122</v>
      </c>
      <c r="D19" s="14" t="s">
        <v>123</v>
      </c>
      <c r="E19" s="7">
        <f t="shared" si="0"/>
        <v>153</v>
      </c>
      <c r="F19" s="6" t="s">
        <v>19</v>
      </c>
      <c r="G19" s="9">
        <v>92675</v>
      </c>
      <c r="H19" s="15" t="s">
        <v>124</v>
      </c>
      <c r="I19" s="6" t="s">
        <v>121</v>
      </c>
      <c r="J19" s="7" t="s">
        <v>120</v>
      </c>
      <c r="K19" s="10">
        <v>45292</v>
      </c>
      <c r="L19" s="10">
        <v>410534</v>
      </c>
      <c r="M19" s="7" t="s">
        <v>20</v>
      </c>
      <c r="N19" s="7" t="s">
        <v>21</v>
      </c>
      <c r="O19" s="6" t="str">
        <f t="shared" si="1"/>
        <v>San</v>
      </c>
      <c r="P19" s="6" t="s">
        <v>26</v>
      </c>
      <c r="Q19" s="6" t="str">
        <f t="shared" si="2"/>
        <v>Hikes</v>
      </c>
    </row>
    <row r="20" spans="1:17" s="11" customFormat="1" ht="103.95" customHeight="1" x14ac:dyDescent="0.35">
      <c r="A20" s="7" t="s">
        <v>125</v>
      </c>
      <c r="B20" s="7" t="s">
        <v>125</v>
      </c>
      <c r="C20" s="14" t="s">
        <v>127</v>
      </c>
      <c r="D20" s="14" t="s">
        <v>128</v>
      </c>
      <c r="E20" s="7">
        <f t="shared" si="0"/>
        <v>125</v>
      </c>
      <c r="F20" s="6" t="s">
        <v>19</v>
      </c>
      <c r="G20" s="9">
        <v>92676</v>
      </c>
      <c r="H20" s="15" t="s">
        <v>130</v>
      </c>
      <c r="I20" s="6" t="s">
        <v>129</v>
      </c>
      <c r="J20" s="7" t="s">
        <v>126</v>
      </c>
      <c r="K20" s="10">
        <v>45292</v>
      </c>
      <c r="L20" s="10">
        <v>410534</v>
      </c>
      <c r="M20" s="7" t="s">
        <v>20</v>
      </c>
      <c r="N20" s="7" t="s">
        <v>21</v>
      </c>
      <c r="O20" s="6" t="str">
        <f t="shared" si="1"/>
        <v>Silverado beeks</v>
      </c>
      <c r="P20" s="6" t="s">
        <v>26</v>
      </c>
      <c r="Q20" s="6" t="str">
        <f t="shared" si="2"/>
        <v>Hikes</v>
      </c>
    </row>
    <row r="21" spans="1:17" s="11" customFormat="1" ht="105.45" customHeight="1" x14ac:dyDescent="0.35">
      <c r="A21" s="7" t="s">
        <v>144</v>
      </c>
      <c r="B21" s="7" t="s">
        <v>144</v>
      </c>
      <c r="C21" s="14" t="s">
        <v>147</v>
      </c>
      <c r="D21" s="14" t="s">
        <v>148</v>
      </c>
      <c r="E21" s="7">
        <f t="shared" si="0"/>
        <v>151</v>
      </c>
      <c r="F21" s="6" t="s">
        <v>19</v>
      </c>
      <c r="G21" s="9">
        <v>92676</v>
      </c>
      <c r="H21" s="15" t="s">
        <v>130</v>
      </c>
      <c r="I21" s="6" t="s">
        <v>146</v>
      </c>
      <c r="J21" s="7" t="s">
        <v>145</v>
      </c>
      <c r="K21" s="10">
        <v>45292</v>
      </c>
      <c r="L21" s="10">
        <v>410534</v>
      </c>
      <c r="M21" s="7" t="s">
        <v>20</v>
      </c>
      <c r="N21" s="7" t="s">
        <v>21</v>
      </c>
      <c r="O21" s="6" t="str">
        <f t="shared" si="1"/>
        <v>Silverado black</v>
      </c>
      <c r="P21" s="6" t="s">
        <v>26</v>
      </c>
      <c r="Q21" s="6" t="str">
        <f t="shared" si="2"/>
        <v>Hikes</v>
      </c>
    </row>
    <row r="22" spans="1:17" s="11" customFormat="1" ht="94.05" customHeight="1" x14ac:dyDescent="0.35">
      <c r="A22" s="7" t="s">
        <v>137</v>
      </c>
      <c r="B22" s="7" t="s">
        <v>143</v>
      </c>
      <c r="C22" s="14" t="s">
        <v>141</v>
      </c>
      <c r="D22" s="14" t="s">
        <v>142</v>
      </c>
      <c r="E22" s="7">
        <f t="shared" si="0"/>
        <v>155</v>
      </c>
      <c r="F22" s="6" t="s">
        <v>19</v>
      </c>
      <c r="G22" s="9">
        <v>92676</v>
      </c>
      <c r="H22" s="15" t="s">
        <v>140</v>
      </c>
      <c r="I22" s="6" t="s">
        <v>138</v>
      </c>
      <c r="J22" s="7" t="s">
        <v>139</v>
      </c>
      <c r="K22" s="10">
        <v>45292</v>
      </c>
      <c r="L22" s="10">
        <v>410534</v>
      </c>
      <c r="M22" s="7" t="s">
        <v>20</v>
      </c>
      <c r="N22" s="7" t="s">
        <v>21</v>
      </c>
      <c r="O22" s="6" t="str">
        <f t="shared" si="1"/>
        <v>Silverado lime</v>
      </c>
      <c r="P22" s="6" t="s">
        <v>26</v>
      </c>
      <c r="Q22" s="6" t="str">
        <f t="shared" si="2"/>
        <v>Hikes</v>
      </c>
    </row>
    <row r="23" spans="1:17" s="11" customFormat="1" ht="91.05" customHeight="1" x14ac:dyDescent="0.35">
      <c r="A23" s="7" t="s">
        <v>131</v>
      </c>
      <c r="B23" s="7" t="s">
        <v>131</v>
      </c>
      <c r="C23" s="14" t="s">
        <v>134</v>
      </c>
      <c r="D23" s="14" t="s">
        <v>135</v>
      </c>
      <c r="E23" s="7">
        <f t="shared" si="0"/>
        <v>155</v>
      </c>
      <c r="F23" s="6" t="s">
        <v>19</v>
      </c>
      <c r="G23" s="9">
        <v>92679</v>
      </c>
      <c r="H23" s="15" t="s">
        <v>136</v>
      </c>
      <c r="I23" s="6" t="s">
        <v>133</v>
      </c>
      <c r="J23" s="7" t="s">
        <v>132</v>
      </c>
      <c r="K23" s="10">
        <v>45292</v>
      </c>
      <c r="L23" s="10">
        <v>410534</v>
      </c>
      <c r="M23" s="7" t="s">
        <v>20</v>
      </c>
      <c r="N23" s="7" t="s">
        <v>21</v>
      </c>
      <c r="O23" s="6" t="str">
        <f t="shared" si="1"/>
        <v>Silverado mod</v>
      </c>
      <c r="P23" s="6" t="s">
        <v>26</v>
      </c>
      <c r="Q23" s="6" t="str">
        <f t="shared" si="2"/>
        <v>Hikes</v>
      </c>
    </row>
    <row r="24" spans="1:17" s="11" customFormat="1" ht="103.05" customHeight="1" x14ac:dyDescent="0.35">
      <c r="A24" s="7" t="s">
        <v>149</v>
      </c>
      <c r="B24" s="7" t="s">
        <v>149</v>
      </c>
      <c r="C24" s="14" t="s">
        <v>152</v>
      </c>
      <c r="D24" s="14" t="s">
        <v>153</v>
      </c>
      <c r="E24" s="7">
        <f t="shared" si="0"/>
        <v>149</v>
      </c>
      <c r="F24" s="6" t="s">
        <v>19</v>
      </c>
      <c r="G24" s="9">
        <v>92610</v>
      </c>
      <c r="H24" s="15" t="s">
        <v>154</v>
      </c>
      <c r="I24" s="6" t="s">
        <v>150</v>
      </c>
      <c r="J24" s="7" t="s">
        <v>151</v>
      </c>
      <c r="K24" s="10">
        <v>45292</v>
      </c>
      <c r="L24" s="10">
        <v>410534</v>
      </c>
      <c r="M24" s="7" t="s">
        <v>20</v>
      </c>
      <c r="N24" s="7" t="s">
        <v>21</v>
      </c>
      <c r="O24" s="6" t="str">
        <f t="shared" si="1"/>
        <v>Trabuco</v>
      </c>
      <c r="P24" s="6" t="s">
        <v>26</v>
      </c>
      <c r="Q24" s="6" t="str">
        <f t="shared" si="2"/>
        <v>Hikes</v>
      </c>
    </row>
    <row r="25" spans="1:17" s="11" customFormat="1" ht="21.45" customHeight="1" x14ac:dyDescent="0.35">
      <c r="A25" s="7"/>
      <c r="B25" s="7"/>
      <c r="C25" s="14"/>
      <c r="D25" s="14"/>
      <c r="E25" s="7"/>
      <c r="F25" s="6"/>
      <c r="G25" s="9"/>
      <c r="H25" s="15"/>
      <c r="I25" s="6"/>
      <c r="J25" s="7"/>
      <c r="K25" s="10"/>
      <c r="L25" s="10"/>
      <c r="M25" s="7"/>
      <c r="N25" s="7"/>
      <c r="O25" s="6"/>
      <c r="P25" s="6"/>
      <c r="Q25" s="6"/>
    </row>
    <row r="26" spans="1:17" s="11" customFormat="1" ht="21.45" customHeight="1" x14ac:dyDescent="0.35">
      <c r="A26" s="7"/>
      <c r="B26" s="7"/>
      <c r="C26" s="14"/>
      <c r="D26" s="14"/>
      <c r="E26" s="7"/>
      <c r="F26" s="6"/>
      <c r="G26" s="9"/>
      <c r="H26" s="15"/>
      <c r="I26" s="6"/>
      <c r="J26" s="7"/>
      <c r="K26" s="10"/>
      <c r="L26" s="10"/>
      <c r="M26" s="7"/>
      <c r="N26" s="7"/>
      <c r="O26" s="6"/>
      <c r="P26" s="6"/>
      <c r="Q26" s="6"/>
    </row>
    <row r="27" spans="1:17" s="11" customFormat="1" ht="21.45" customHeight="1" x14ac:dyDescent="0.35">
      <c r="A27" s="7"/>
      <c r="B27" s="7"/>
      <c r="C27" s="14"/>
      <c r="D27" s="14"/>
      <c r="E27" s="7"/>
      <c r="F27" s="6"/>
      <c r="G27" s="9"/>
      <c r="H27" s="8"/>
      <c r="I27" s="6"/>
      <c r="J27" s="7"/>
      <c r="K27" s="10"/>
      <c r="L27" s="10"/>
      <c r="M27" s="7"/>
      <c r="N27" s="7"/>
      <c r="O27" s="6"/>
      <c r="P27" s="6"/>
      <c r="Q27" s="6"/>
    </row>
    <row r="28" spans="1:17" s="11" customFormat="1" ht="21.45" customHeight="1" x14ac:dyDescent="0.35">
      <c r="A28" s="7"/>
      <c r="B28" s="7"/>
      <c r="C28" s="14"/>
      <c r="D28" s="14"/>
      <c r="E28" s="7"/>
      <c r="F28" s="6"/>
      <c r="G28" s="9"/>
      <c r="H28" s="15"/>
      <c r="I28" s="6"/>
      <c r="J28" s="7"/>
      <c r="K28" s="10"/>
      <c r="L28" s="10"/>
      <c r="M28" s="7"/>
      <c r="N28" s="7"/>
      <c r="O28" s="6"/>
      <c r="P28" s="6"/>
      <c r="Q28" s="6"/>
    </row>
    <row r="29" spans="1:17" s="11" customFormat="1" ht="21.45" customHeight="1" x14ac:dyDescent="0.35">
      <c r="A29" s="7"/>
      <c r="B29" s="7"/>
      <c r="C29" s="14"/>
      <c r="D29" s="14"/>
      <c r="E29" s="7"/>
      <c r="F29" s="6"/>
      <c r="G29" s="9"/>
      <c r="H29" s="15"/>
      <c r="I29" s="6"/>
      <c r="J29" s="7"/>
      <c r="K29" s="10"/>
      <c r="L29" s="10"/>
      <c r="M29" s="7"/>
      <c r="N29" s="7"/>
      <c r="O29" s="6"/>
      <c r="P29" s="6"/>
      <c r="Q29" s="6"/>
    </row>
    <row r="30" spans="1:17" s="11" customFormat="1" ht="21.45" customHeight="1" x14ac:dyDescent="0.35">
      <c r="A30" s="7"/>
      <c r="B30" s="7"/>
      <c r="C30" s="14"/>
      <c r="D30" s="14"/>
      <c r="E30" s="7"/>
      <c r="F30" s="6"/>
      <c r="G30" s="9"/>
      <c r="H30" s="15"/>
      <c r="I30" s="6"/>
      <c r="J30" s="7"/>
      <c r="K30" s="10"/>
      <c r="L30" s="10"/>
      <c r="M30" s="7"/>
      <c r="N30" s="7"/>
      <c r="O30" s="6"/>
      <c r="P30" s="6"/>
      <c r="Q30" s="6"/>
    </row>
    <row r="31" spans="1:17" s="11" customFormat="1" ht="21.45" customHeight="1" x14ac:dyDescent="0.35">
      <c r="A31" s="7"/>
      <c r="B31" s="7"/>
      <c r="C31" s="14"/>
      <c r="D31" s="14"/>
      <c r="E31" s="7"/>
      <c r="F31" s="6"/>
      <c r="G31" s="9"/>
      <c r="H31" s="15"/>
      <c r="I31" s="6"/>
      <c r="J31" s="7"/>
      <c r="K31" s="10"/>
      <c r="L31" s="10"/>
      <c r="M31" s="7"/>
      <c r="N31" s="7"/>
      <c r="O31" s="6"/>
      <c r="P31" s="6"/>
      <c r="Q31" s="6"/>
    </row>
    <row r="32" spans="1:17" s="11" customFormat="1" ht="21.45" customHeight="1" x14ac:dyDescent="0.35">
      <c r="A32" s="7"/>
      <c r="B32" s="7"/>
      <c r="C32" s="14"/>
      <c r="D32" s="14"/>
      <c r="E32" s="7"/>
      <c r="F32" s="6"/>
      <c r="G32" s="9"/>
      <c r="H32" s="8"/>
      <c r="I32" s="6"/>
      <c r="J32" s="7"/>
      <c r="K32" s="10"/>
      <c r="L32" s="10"/>
      <c r="M32" s="7"/>
      <c r="N32" s="7"/>
      <c r="O32" s="6"/>
      <c r="P32" s="6"/>
      <c r="Q32" s="6"/>
    </row>
    <row r="33" spans="1:17" x14ac:dyDescent="0.3">
      <c r="A33" s="12"/>
      <c r="B33" s="12"/>
      <c r="C33" s="12"/>
      <c r="D33" s="12"/>
      <c r="E33" s="12"/>
      <c r="F33" s="12"/>
      <c r="G33" s="12"/>
      <c r="H33" s="16"/>
      <c r="I33" s="12"/>
      <c r="J33" s="12"/>
      <c r="K33" s="13"/>
      <c r="L33" s="13"/>
      <c r="M33" s="12"/>
      <c r="N33" s="12"/>
      <c r="O33" s="12"/>
      <c r="P33" s="12"/>
      <c r="Q33" s="12"/>
    </row>
    <row r="34" spans="1:17" x14ac:dyDescent="0.3">
      <c r="A34" s="12"/>
      <c r="B34" s="12"/>
      <c r="C34" s="12"/>
      <c r="D34" s="12"/>
      <c r="E34" s="12"/>
      <c r="F34" s="12"/>
      <c r="G34" s="12"/>
      <c r="H34" s="12"/>
      <c r="I34" s="12"/>
      <c r="J34" s="12"/>
      <c r="K34" s="13"/>
      <c r="L34" s="13"/>
      <c r="M34" s="12"/>
      <c r="N34" s="12"/>
      <c r="O34" s="12"/>
      <c r="P34" s="12"/>
      <c r="Q34" s="12"/>
    </row>
    <row r="35" spans="1:17" x14ac:dyDescent="0.3">
      <c r="A35" s="12"/>
      <c r="B35" s="12"/>
      <c r="C35" s="12"/>
      <c r="D35" s="12"/>
      <c r="E35" s="12"/>
      <c r="F35" s="12"/>
      <c r="G35" s="12"/>
      <c r="H35" s="12"/>
      <c r="I35" s="12"/>
      <c r="J35" s="12"/>
      <c r="K35" s="13"/>
      <c r="L35" s="13"/>
      <c r="M35" s="12"/>
      <c r="N35" s="12"/>
      <c r="O35" s="12"/>
      <c r="P35" s="12"/>
      <c r="Q35" s="12"/>
    </row>
  </sheetData>
  <autoFilter ref="A1:Q1" xr:uid="{63DA3E44-3605-449C-AE11-8D4FB01A0BBE}">
    <sortState xmlns:xlrd2="http://schemas.microsoft.com/office/spreadsheetml/2017/richdata2" ref="A2:Q24">
      <sortCondition ref="B1"/>
    </sortState>
  </autoFilter>
  <phoneticPr fontId="6" type="noConversion"/>
  <pageMargins left="0.25" right="0.25" top="0.75" bottom="0.75" header="0.3" footer="0.3"/>
  <pageSetup scale="85"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Hikes</vt:lpstr>
      <vt:lpstr>Hikes!Print_Area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Connor McCarl</cp:lastModifiedBy>
  <cp:lastPrinted>2024-07-15T01:55:09Z</cp:lastPrinted>
  <dcterms:created xsi:type="dcterms:W3CDTF">2024-03-17T21:07:34Z</dcterms:created>
  <dcterms:modified xsi:type="dcterms:W3CDTF">2026-06-06T01:41:10Z</dcterms:modified>
</cp:coreProperties>
</file>