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951" documentId="8_{58F49D69-DF48-4AFA-A304-648071A848E4}" xr6:coauthVersionLast="47" xr6:coauthVersionMax="47" xr10:uidLastSave="{A6134FD9-37A8-4CBD-815E-10BB6B8FAF0F}"/>
  <bookViews>
    <workbookView xWindow="-110" yWindow="-110" windowWidth="19420" windowHeight="11500" xr2:uid="{3F4AF157-4EA4-44F9-9369-4ED39BF1C451}"/>
  </bookViews>
  <sheets>
    <sheet name="Race 2" sheetId="2" r:id="rId1"/>
  </sheets>
  <definedNames>
    <definedName name="_xlnm._FilterDatabase" localSheetId="0" hidden="1">'Race 2'!$A$1:$Q$1</definedName>
    <definedName name="_xlnm.Print_Area" localSheetId="0">'Race 2'!$A$1:$B$1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2" l="1"/>
  <c r="Q5" i="2"/>
  <c r="Q35" i="2"/>
  <c r="Q2" i="2"/>
  <c r="Q30" i="2"/>
  <c r="Q22" i="2"/>
  <c r="Q4" i="2"/>
  <c r="Q31" i="2"/>
  <c r="Q14" i="2"/>
  <c r="Q18" i="2"/>
  <c r="Q21" i="2"/>
  <c r="Q8" i="2"/>
  <c r="Q11" i="2"/>
  <c r="Q7" i="2"/>
  <c r="Q27" i="2"/>
  <c r="Q15" i="2"/>
  <c r="Q16" i="2"/>
  <c r="Q13" i="2"/>
  <c r="Q6" i="2"/>
  <c r="Q20" i="2"/>
  <c r="Q29" i="2"/>
  <c r="Q3" i="2"/>
  <c r="Q12" i="2"/>
  <c r="Q23" i="2"/>
  <c r="Q32" i="2"/>
  <c r="Q33" i="2"/>
  <c r="Q34" i="2"/>
  <c r="Q24" i="2"/>
  <c r="Q19" i="2"/>
  <c r="Q10" i="2"/>
  <c r="Q25" i="2"/>
  <c r="Q28" i="2"/>
  <c r="Q9" i="2"/>
  <c r="Q26" i="2"/>
  <c r="O17" i="2"/>
  <c r="O5" i="2"/>
  <c r="O35" i="2"/>
  <c r="O2" i="2"/>
  <c r="O30" i="2"/>
  <c r="O22" i="2"/>
  <c r="O4" i="2"/>
  <c r="O31" i="2"/>
  <c r="O14" i="2"/>
  <c r="O18" i="2"/>
  <c r="O21" i="2"/>
  <c r="O8" i="2"/>
  <c r="O11" i="2"/>
  <c r="O7" i="2"/>
  <c r="O27" i="2"/>
  <c r="O15" i="2"/>
  <c r="O16" i="2"/>
  <c r="O13" i="2"/>
  <c r="O6" i="2"/>
  <c r="O20" i="2"/>
  <c r="O29" i="2"/>
  <c r="O3" i="2"/>
  <c r="O12" i="2"/>
  <c r="O23" i="2"/>
  <c r="O32" i="2"/>
  <c r="O33" i="2"/>
  <c r="O34" i="2"/>
  <c r="O24" i="2"/>
  <c r="O19" i="2"/>
  <c r="O10" i="2"/>
  <c r="O25" i="2"/>
  <c r="O28" i="2"/>
  <c r="O9" i="2"/>
  <c r="O26" i="2"/>
  <c r="E17" i="2"/>
  <c r="E5" i="2"/>
  <c r="E35" i="2"/>
  <c r="E2" i="2"/>
  <c r="E30" i="2"/>
  <c r="E22" i="2"/>
  <c r="E4" i="2"/>
  <c r="E31" i="2"/>
  <c r="E14" i="2"/>
  <c r="E18" i="2"/>
  <c r="E21" i="2"/>
  <c r="E8" i="2"/>
  <c r="E11" i="2"/>
  <c r="E7" i="2"/>
  <c r="E27" i="2"/>
  <c r="E15" i="2"/>
  <c r="E16" i="2"/>
  <c r="E13" i="2"/>
  <c r="E6" i="2"/>
  <c r="E20" i="2"/>
  <c r="E29" i="2"/>
  <c r="E3" i="2"/>
  <c r="E12" i="2"/>
  <c r="E23" i="2"/>
  <c r="E32" i="2"/>
  <c r="E33" i="2"/>
  <c r="E34" i="2"/>
  <c r="E24" i="2"/>
  <c r="E19" i="2"/>
  <c r="E10" i="2"/>
  <c r="E25" i="2"/>
  <c r="E28" i="2"/>
  <c r="E9" i="2"/>
  <c r="E26" i="2"/>
</calcChain>
</file>

<file path=xl/sharedStrings.xml><?xml version="1.0" encoding="utf-8"?>
<sst xmlns="http://schemas.openxmlformats.org/spreadsheetml/2006/main" count="392" uniqueCount="221">
  <si>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</si>
  <si>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</si>
  <si>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</si>
  <si>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</si>
  <si>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</si>
  <si>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</si>
  <si>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</si>
  <si>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</si>
  <si>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</si>
  <si>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</si>
  <si>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</si>
  <si>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</si>
  <si>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</si>
  <si>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</si>
  <si>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</si>
  <si>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</si>
  <si>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Group, solo</t>
  </si>
  <si>
    <t>Solo</t>
  </si>
  <si>
    <t>Race</t>
  </si>
  <si>
    <t>Into</t>
  </si>
  <si>
    <t>Heros</t>
  </si>
  <si>
    <t>Pacific</t>
  </si>
  <si>
    <t>Tiki</t>
  </si>
  <si>
    <t>Dove</t>
  </si>
  <si>
    <t>Hope</t>
  </si>
  <si>
    <t>Central</t>
  </si>
  <si>
    <t>Cypress</t>
  </si>
  <si>
    <t>Halloween</t>
  </si>
  <si>
    <t>Dino</t>
  </si>
  <si>
    <t>Bubble</t>
  </si>
  <si>
    <t>Kaiser</t>
  </si>
  <si>
    <t>Seal</t>
  </si>
  <si>
    <t>Anaheim</t>
  </si>
  <si>
    <t>Dana</t>
  </si>
  <si>
    <t>Plymouth</t>
  </si>
  <si>
    <t>Pumpkin</t>
  </si>
  <si>
    <t>Crystal</t>
  </si>
  <si>
    <t>Santa</t>
  </si>
  <si>
    <t>Chasing</t>
  </si>
  <si>
    <t>Heroes 4 Hearing 5K</t>
  </si>
  <si>
    <t>16801 Euclid St. Fountain Valley, CA</t>
  </si>
  <si>
    <t>Race &amp; endurance</t>
  </si>
  <si>
    <t>Heros 4 Hearing 5k race - Join us on Sunday, August 18th in Fountain Valley, California (or virtually) as we celebrate our recipients and those who helped give the gift of hearing! Let’s run and walk together so we can keep on giving this precious gift. All participants who register by July 25th are guaranteed to receive a t-shirt, and ALL participants are guaranteed to have lots of fun!</t>
  </si>
  <si>
    <t xml:space="preserve">Heros 4 Hearing 5k race - Join us in Fountain Valley, California (or virtually) as we celebrate our recipients and those who helped give the gift of hearing! </t>
  </si>
  <si>
    <t>https://runsignup.com/Race/CA/FountainValley/Heroes4Hearing?aflt_token=vkmwDmweQ4iCYn8otSOOnKQ3vCO8buOw</t>
  </si>
  <si>
    <t>Heroes 4 Hearing 5K Race</t>
  </si>
  <si>
    <t>Big A 5K Race</t>
  </si>
  <si>
    <t>Big A 5k Race - Join Us at Angel Stadium for a dynamic day of fitness! Participate in either a 5K run, row workout or cycling to the beach. All proceeds to benefit the Anaheim Police Survivors and Scholarship Fund.</t>
  </si>
  <si>
    <t xml:space="preserve">Big A 5k Race - Join Us at Angel Stadium for a dynamic day of fitness! Participate in either a 5K run, row workout or cycling to the beach. </t>
  </si>
  <si>
    <t>Big</t>
  </si>
  <si>
    <t>https://runsignup.com/Race/CA/Anaheim/BigA5K?aflt_token=vkmwDmweQ4iCYn8otSOOnKQ3vCO8buOw</t>
  </si>
  <si>
    <t xml:space="preserve">2000 E. Gene Autry Way Anaheim, CA </t>
  </si>
  <si>
    <t>Wild Rivers Splash Dash 5K Race</t>
  </si>
  <si>
    <t>Wild Rivers Splash Dash 5k Race - It's your 'coolest' summer run/walk. With the coolest race BLING!  A custom event BEACH TOWEL and a huge custom FINISHER MEDAL for all participants, plus the chance to win SUPER DUPER RUBBER DUCKY Age divisions medal awards.  It is a SUPER DUPER FUN event.  Make it competitive or great fun!</t>
  </si>
  <si>
    <t>Wild Rivers Splash Dash 5k Race - It's your 'coolest' summer run/walk.  A custom event BEACH TOWEL and a huge custom FINISHER MEDAL for all participants.</t>
  </si>
  <si>
    <t>https://runsignup.com/Race/CA/Irvine/WILDRIVERSSplashDash5k?aflt_token=vkmwDmweQ4iCYn8otSOOnKQ3vCO8buOw</t>
  </si>
  <si>
    <t>Wild</t>
  </si>
  <si>
    <t>10000 Great Park Blvd. Irvine, CA</t>
  </si>
  <si>
    <t>9/11 Heroes Run Race</t>
  </si>
  <si>
    <t>The 9/11 Heroes Run 5K race welcomes runners, ruckers, and walkers of all ages and fitness levels to honor the heroes of 9/11 and those who've served our nations since. Now over two decades later, these annual 9/11 events are critical to helping Americans fulfill a purpose to never forget and share the significance of that day with future generations.</t>
  </si>
  <si>
    <t xml:space="preserve">The 9/11 Heroes Run 5K race welcomes runners, ruckers &amp; walkers of all ages and fitness levels to honor the heroes of 9/11 &amp; those who've served since. </t>
  </si>
  <si>
    <t>https://runsignup.com/Race/CA/Brea/911HeroesRunOrangeCountyCA?aflt_token=vkmwDmweQ4iCYn8otSOOnKQ3vCO8buOw</t>
  </si>
  <si>
    <t>911</t>
  </si>
  <si>
    <t>4442 Carbon Canyon Rd, Brea, CA</t>
  </si>
  <si>
    <t>Superheroes Triumph 5K Race</t>
  </si>
  <si>
    <t xml:space="preserve">18712 University Drive, Irvine, CA </t>
  </si>
  <si>
    <t>92612 </t>
  </si>
  <si>
    <t>Super</t>
  </si>
  <si>
    <r>
      <t>We're coming BACK! Our annual </t>
    </r>
    <r>
      <rPr>
        <b/>
        <sz val="7"/>
        <rFont val="Arial"/>
        <family val="2"/>
      </rPr>
      <t>Superheroes Triumph 5K!</t>
    </r>
    <r>
      <rPr>
        <sz val="7"/>
        <rFont val="Arial"/>
        <family val="2"/>
      </rPr>
      <t> is fighting crime in the OC again this year.</t>
    </r>
    <r>
      <rPr>
        <sz val="8"/>
        <rFont val="Times New Roman"/>
        <family val="1"/>
      </rPr>
      <t xml:space="preserve"> No matter what your ability is, you are a hero to us. </t>
    </r>
  </si>
  <si>
    <t>https://triumph-foundation.org/superheroes5k/</t>
  </si>
  <si>
    <t>Pacific Coast Triathlon Race</t>
  </si>
  <si>
    <t>The Pacific Coast Triathlon invites young and old, experienced and beginner athletes to join us at beautiful Crystal Cove, Laguna Beach for a great race.</t>
  </si>
  <si>
    <r>
      <t>We're coming BACK! Our annual </t>
    </r>
    <r>
      <rPr>
        <sz val="7"/>
        <rFont val="Arial"/>
        <family val="2"/>
      </rPr>
      <t>Superheroes Triumph 5K! is fighting crime in the OC again this year. This run, walk, and roll is taking over Mason Regional Park located at 18712 University Drive, Irvine, CA 92612 on Saturday, September 14th, 2024 from 8:00 AM - 11:00 AM. Are you ready?</t>
    </r>
  </si>
  <si>
    <t>https://octriseries.com/pacific-coast-triathlon/</t>
  </si>
  <si>
    <t xml:space="preserve">22555 Olympiad Rd, Mission Viejo, CA </t>
  </si>
  <si>
    <t xml:space="preserve">2000 East Gene Autry Way, Anaheim, CA </t>
  </si>
  <si>
    <t>Angel</t>
  </si>
  <si>
    <t>https://race.spartan.com/en/races/anaheim-stadium</t>
  </si>
  <si>
    <t>Angel Stadium Spartan Stadium Race is headed to this historic ballpark for an epic 5K, 20 obstacles course. Angels fans, get ready for an up close and personal look at your favorite team’s home field. Conquer thrilling obstacles and run up and down plenty of bleachers while you explore the park. Want to decompress after your race? Swing by Laguna Beach to take a dip in the Pacific ocean, meet the wildlife of Laguna’s famous tide pools or grab a bite to eat along the shore.</t>
  </si>
  <si>
    <t>Angel Stadium Spartan Stadium Weekend Race</t>
  </si>
  <si>
    <t xml:space="preserve">Angel Spartan Stadium Race is headed to this historic ballpark for an epic 5K, 20 obstacles course. Conquer thrilling obstacles and run up and down.. </t>
  </si>
  <si>
    <t>Tiki Beach 5K/10K Race</t>
  </si>
  <si>
    <t xml:space="preserve">Tiki Beach Race - Welcome to SO CAL's BIGGEST &amp; BEST POLYNESIAN PARTY RACE. Best CUSTOM BLING Hawaiian SHIRTS and a HUGE CUSTOM FINISHER medal with a moving TIKI </t>
  </si>
  <si>
    <t>Tiki Beach Race - Welcome to SO CAL's BIGGEST &amp; BEST POLYNESIAN PARTY RACE. Best CUSTOM BLING Hawaiian SHIRTS and a HUGE CUSTOM FINISHER medal.</t>
  </si>
  <si>
    <t>7851 Pacific Coast Hwy, Huntington Beach, CA</t>
  </si>
  <si>
    <t>https://runsignup.com/Race/CA/HuntingtonBeach/RunTikiBeach?aflt_token=vkmwDmweQ4iCYn8otSOOnKQ3vCO8buOw</t>
  </si>
  <si>
    <t>Dove Dash 5K Race</t>
  </si>
  <si>
    <t>The 2024 Dove Dash race will be an in-person 5K and Walk-A-Thon with a virtual option supporting High Hopes Head Injury Program. High Hopes www.HighHopes.ws is a 501 (c)(3) charitable non-profit organization raising funds to support Traumatic Brain Injury (TBI), Stroke, and Multiple Sclerosis (MS) patients. </t>
  </si>
  <si>
    <t>The 2024 Dove Dash race will be an in-person 5K and Walk-A-Thon with a virtual option supporting High Hopes Head Injury Program. </t>
  </si>
  <si>
    <t>https://runsignup.com/Race/CA/TrabucoCanyon/DOVEDASH?aflt_token=vkmwDmweQ4iCYn8otSOOnKQ3vCO8buOw</t>
  </si>
  <si>
    <t xml:space="preserve">32003 Dove Canyon Drive, Trabuco Canyon, CA </t>
  </si>
  <si>
    <t>Hope On Wheels 5K Race</t>
  </si>
  <si>
    <t>The Annual Hyundai Hope On Wheels 5K race is back again this year (as well as virtually)! We are excited to celebrate this annual community event to raise money for pediatric cancer research and bring money to the local community. This year we are offering three options, a certified 5K Run/Walk, a Virtual 5K and a Color Fun Run. Every race entry fee directly benefits the Hyundai Hope On Wheels and local non-profit charities serving Fountain Valley. Races are held through the beautiful Fountain Valley Sports Park and through the scenic Mile Square Regional Park.</t>
  </si>
  <si>
    <t xml:space="preserve">The Annual Hyundai Hope On Wheels 5K race is back again this year (as well as virtually)! </t>
  </si>
  <si>
    <t>https://runsignup.com/Race/CA/FountainValley/HyundaiHopeOnWheels5Krun?aflt_token=vkmwDmweQ4iCYn8otSOOnKQ3vCO8buOw</t>
  </si>
  <si>
    <t>16400 Brookhurst Street Fountain Valley, CA</t>
  </si>
  <si>
    <t>Lightning Wellness Run/Walk Race</t>
  </si>
  <si>
    <t>Light</t>
  </si>
  <si>
    <t xml:space="preserve">1801 W.Segerstrom Ave. Santa Ana, CA </t>
  </si>
  <si>
    <t>The Lightning Wellness Run/Walk race is a 1-mile event open for the community regardless of skill level. This event at 7:30 am. The Santa Ana Cross Country Invitational is a competitive event for clubs and schools. Depending on the age division, there are distances of 2k, 3k &amp; 4k. This event starts at 8:00 am and is in a rolling schedule.</t>
  </si>
  <si>
    <t xml:space="preserve">Lightning Wellness Run/Walk race is open for the community regardless of skill level. Depending on the age division, there are distances of 2k, 3k &amp; 4k. </t>
  </si>
  <si>
    <t>https://runsignup.com/Race/CA/SantaAna/lightningwellnessrun?aflt_token=vkmwDmweQ4iCYn8otSOOnKQ3vCO8buOw</t>
  </si>
  <si>
    <t>Central Park Invitational - Open Race</t>
  </si>
  <si>
    <t>https://fvhscctnf.wordpress.com/fountain-valley-high-school-cross-country-track-field/cpi/</t>
  </si>
  <si>
    <t xml:space="preserve">Central Park Dr. Huntington Beach, CA </t>
  </si>
  <si>
    <r>
      <t>Central Park Invitational Open Race - For coaches and others runners, we have added an open race to start at 8:00 am. Entry $20. </t>
    </r>
    <r>
      <rPr>
        <sz val="8"/>
        <rFont val="Inherit"/>
      </rPr>
      <t>Register Online</t>
    </r>
    <r>
      <rPr>
        <sz val="8"/>
        <rFont val="Arial"/>
        <family val="2"/>
      </rPr>
      <t> or walk on registration begins at 7:00 am. If parking is not available at HB Central Park, there is additional parking available south of the HB Central Park Equestrian Center, Ellis Avenue entrance. (Please do not walk through the Equestrian Center.)  </t>
    </r>
    <r>
      <rPr>
        <sz val="8"/>
        <rFont val="Inherit"/>
      </rPr>
      <t>See map for details.</t>
    </r>
  </si>
  <si>
    <t xml:space="preserve">Central Park Invitational Open Race - For coaches and others runners, we have added an open race to start at 8:00 am. </t>
  </si>
  <si>
    <t>Cypress Run Race</t>
  </si>
  <si>
    <t xml:space="preserve">Cypress Run Race - Performance shirts &amp; participant medals for all (guaranteed if registered by September 15). </t>
  </si>
  <si>
    <t>https://www.cypressca.org/activities/cypress-run#ad-image-0</t>
  </si>
  <si>
    <t xml:space="preserve">5275 Orange Avenue Cypress, CA </t>
  </si>
  <si>
    <t>California Brewery Running Series Race</t>
  </si>
  <si>
    <t>California</t>
  </si>
  <si>
    <t>https://www.breweryrunningseries.com/locations/california</t>
  </si>
  <si>
    <t>California Brewery Running Series™ race for fun run courses that all start and end at local breweries. A portion of all proceeds support local nonprofits.</t>
  </si>
  <si>
    <t xml:space="preserve">3150 East La Palma Avenue #Suite G Anaheim, CA </t>
  </si>
  <si>
    <t>Join us - the California Brewery Running Series™ race for fun run courses that all start and end at local breweries. A portion of all proceeds support local nonprofits. Join us for 5k Fun Run event at Pfeiffer Brewing Co. Run, walk or jog a 5k course, then celebrate at the finish line!</t>
  </si>
  <si>
    <t>Run4Sharks and Ocean Health Fair 5K Race</t>
  </si>
  <si>
    <t>Run4</t>
  </si>
  <si>
    <r>
      <t>Run4Sharks and Ocean Health Fair 5k Race - Come out and get your fitness </t>
    </r>
    <r>
      <rPr>
        <sz val="8"/>
        <rFont val="Arial"/>
        <family val="2"/>
      </rPr>
      <t>on with this closed course fun run and community event of ocean awareness. Choose a 5k or 1mile race with a 9am start. Walk or run it, professionally timed for some great prizes.</t>
    </r>
  </si>
  <si>
    <r>
      <t>Run4Sharks and Ocean Health Fair 5k Race - Come out and get your fitness </t>
    </r>
    <r>
      <rPr>
        <sz val="8"/>
        <rFont val="Arial"/>
        <family val="2"/>
      </rPr>
      <t>on with this closed course fun run and community event of ocean awareness.</t>
    </r>
  </si>
  <si>
    <t>https://runsignup.com/Race/CA/NewportBeach/Run4SharksOceanHealthFair5k1mileFunRun?aflt_token=vkmwDmweQ4iCYn8otSOOnKQ3vCO8buOw</t>
  </si>
  <si>
    <t xml:space="preserve">1131 Back Bay Drive Newport Beach, CA </t>
  </si>
  <si>
    <t>Fit Fall Halloween Harvest 10K/5K Race</t>
  </si>
  <si>
    <t>Fit</t>
  </si>
  <si>
    <t>Kick-off for A  FIT FALL race. We are combining the traditional Halloween/Harvest theme (so if that’s your gig, costume it up, join in games, costume contests, and super fun selfies and awards. But, ALSO, we are adding an ARMY/BOOT Camp flair and SUPPORTING ANYTHING IN A UNIFORM.  Additional awards added for not only the best Halloween costumes but the best themes in a uniform! </t>
  </si>
  <si>
    <t xml:space="preserve">Fit Fall Race - We are combining the traditional Halloween/Harvest theme, so if that’s your gig, costume it up, join in games, costume contests and awards. </t>
  </si>
  <si>
    <t>https://runsignup.com/Race/CA/HuntingtonBeach/OrangeCountyHalloween5K?aflt_token=vkmwDmweQ4iCYn8otSOOnKQ3vCO8buOw</t>
  </si>
  <si>
    <t xml:space="preserve">17851 Pacific Coast Hwy Huntington Beach, CA </t>
  </si>
  <si>
    <t>Halloween Havoc Half Marathon Race</t>
  </si>
  <si>
    <t>Get ready to run for your life at the Halloween Havoc race! This race is not for the faint of heart - it's a spooky, spine-chilling adventure that will test your courage and endurance. But it's not all doom and gloom - as you approach the finish line, you'll be greeted by a festive Halloween party with pumpkin spice treats, spooky music, and other wicked surprises.</t>
  </si>
  <si>
    <t xml:space="preserve">Halloween Havoc race - This race is not for the faint of heart - it's a spooky, spine-chilling adventure that will test your courage and endurance. </t>
  </si>
  <si>
    <t xml:space="preserve">16801 Euclid St, Fountain Valley, CA </t>
  </si>
  <si>
    <t>https://runsignup.com/Race/CA/FountainValley/HalloweenHavoc5K10K15KandHalfMarathon?aflt_token=vkmwDmweQ4iCYn8otSOOnKQ3vCO8buOw</t>
  </si>
  <si>
    <t>Dino Dash Race</t>
  </si>
  <si>
    <t>The Dinosaur Dash race is a community run, walk, and bike event benefiting the Tustin Public Schools Foundation. There's something for everyone--a 2k fun run, chip-timed 5k and 10k runs, and Bike Tours for all riding levels (15k and a family-friendly 5k).</t>
  </si>
  <si>
    <t>Dinosaur Dash race - There's something for everyone--a 2k fun run, chip-timed 5k and 10k runs &amp; Bike Tours for all riding levels (15k and a family-friendly 5k).</t>
  </si>
  <si>
    <t>https://www.tpsf.net/dinodash</t>
  </si>
  <si>
    <t xml:space="preserve">150 El Camino Real, Suite 140  Tustin, CA </t>
  </si>
  <si>
    <t>Bubble Run - Irvine Race</t>
  </si>
  <si>
    <t>Bubble Run Race - If you’ve done a traditional 5K, you know they can be a bit lackluster. But the BUBBLE RUN™ is like running through Willy Wonkas’ factory. Clad in white t-shirts, adults, kids and strollers run, walk, dance and play across up to 3 miles of absolute fun! Waves start every 3-5 minutes. Participants will run through the Foam Bogs where there is enough colored foam to cover you from head to toe!</t>
  </si>
  <si>
    <t xml:space="preserve">Bubble Run Race - If you’ve done a traditional 5K, you know they can be a bit lackluster. But the BUBBLE RUN™ is like running through Willy Wonkas’ factory. </t>
  </si>
  <si>
    <t>https://bubblerun.com/locations/irvine/</t>
  </si>
  <si>
    <t xml:space="preserve">5305 Santiago Canyon Rd Silverado, CA </t>
  </si>
  <si>
    <t>Kaiser Permanente Get Fit Festival Race</t>
  </si>
  <si>
    <t>Kaiser Get Fit Festival Race - Not a runner or a biker… no problem!  Join the fun with lots of activities to choose from, including: Food trucks – sample some of OC’s finest food trucks. Available from 10 a.m. to 2 p.m. The Thrive Zone – try your luck at one of the challenging carnival games. The Fitness Zone – try Zumba, yoga, or line dancing. The Kid’s Zone – bounce and blast your way through the kid’s zone (activities for ages 4-12). and more.</t>
  </si>
  <si>
    <t xml:space="preserve">Kaiser Get Fit Festival Race -  Join the fun with lots of activities to choose from, including: Food trucks – sample some of OC’s finest food trucks and more. </t>
  </si>
  <si>
    <t>https://getfitsocal.org/get-fit-festival/</t>
  </si>
  <si>
    <t xml:space="preserve">6640 Alton Parkway Irvine, CA </t>
  </si>
  <si>
    <t>Seal Beach Turkey Trot Race</t>
  </si>
  <si>
    <t>https://www.sealbeachturkeytrot.com/</t>
  </si>
  <si>
    <t>Main street Seal Beach, CA</t>
  </si>
  <si>
    <t>Seal Beach Turkey Trot race has partnered with two great charities, Grateful Hearts and Project SEEK. Through our event, we help raise over $25,000 in funds and awareness in our community. Our goal is to donate over 300-holiday meals for families in need each year in our community with Grateful Hearts, and to help raise funds for our local schools through Project SEEK. Our Title Sponsor Financial Partners Credit Union is also involved in helping us reach these goals!</t>
  </si>
  <si>
    <t>Seal Beach Turkey Trot race has partnered with two charities. Through our event, we help raise over $25,000 in funds and awareness.</t>
  </si>
  <si>
    <t>Anaheim Turkey Trot 5K/10K Race</t>
  </si>
  <si>
    <t>https://runsignup.com/Race/CA/Anaheim/ThanksgivingTurkeyTrot5KandFunRun?aflt_token=vkmwDmweQ4iCYn8otSOOnKQ3vCO8buOw</t>
  </si>
  <si>
    <t xml:space="preserve">2610 E. Katella Ave Anaheim, CA </t>
  </si>
  <si>
    <t>Anaheim Turkey Trot - To accommodate this size event on the paved River Trail : Rolling Start  7:55am to 8:05am for 5k/10k/ 8:06 1 mile start.  All 5k/10k Must cross the start mats by 8:05am.  Elite and fast runners plan to go off in the first wave at 7:55am. . A "COOL" warm up begins at 7:50am!  Course time starts when you step  under the START ARCH  and on the start mats.  Wear Bib on Front.  </t>
  </si>
  <si>
    <t>Anaheim Turkey Trot - All 5k/10k Must cross the start mats by 8:05am.  Elite and fast runners plan to go off in the first wave at 7:55am. </t>
  </si>
  <si>
    <t>Dana Point Turkey Trot Race</t>
  </si>
  <si>
    <t>https://www.turkeytrot.com/</t>
  </si>
  <si>
    <t>Dana Point Turkey Trot Race - Celebrate the 47th Annual Dana Point Turkey Trot this Thanksgiving Day in the Dana Point Harbor! Burn off your pre-Thanksgiving meal calories with a run/walk of a 5K, 10K, 15K Combo, or Kids 1-Mile Gobble Wobble in the beautiful Dana Point Harbor! Registration includes a 2024 Commemorative T-Shirt, Finisher Medal, Race Bib with Timed Results (Kids Gobble Wobble not timed), and Virtual Goody Bag.</t>
  </si>
  <si>
    <t>Dana Point Turkey Trot Race - Celebrate the 47th Annual Dana Point Turkey Trot this Thanksgiving Day in the Dana Point Harbor!</t>
  </si>
  <si>
    <t xml:space="preserve">25001 Dana Point Harbor Dr. Dana Point, CA </t>
  </si>
  <si>
    <t>Plymouth Rock n Run Race</t>
  </si>
  <si>
    <t>Plymouth Rock n Run Race - It's all happening on Thanksgiving Day, at  La Palma Ave, right in the heart of beautiful Yorba Regional Park. We've got a fantastic day of activities and races planned for you, so let's dive into all the exhilarating details.</t>
  </si>
  <si>
    <t xml:space="preserve">Plymouth Rock n Run Race - It's all happening on Thanksgiving Day, at  La Palma Ave, right in the heart of beautiful Yorba Regional Park. </t>
  </si>
  <si>
    <t>https://runsignup.com/Race/CA/Anaheim/PlymouthRocknRun?aflt_token=vkmwDmweQ4iCYn8otSOOnKQ3vCO8buOw</t>
  </si>
  <si>
    <t xml:space="preserve">7600 E La Palma Ave, Anaheim, CA </t>
  </si>
  <si>
    <t>Turkey Trot OC 5K Race</t>
  </si>
  <si>
    <t>Turkey trot OC</t>
  </si>
  <si>
    <t xml:space="preserve">Continue your family tradition, or take advantage of our flat and fast course to improve your 5K time! Now in its 11th year, we invite you to join us for our annual Turkey Trot OC 5K race on Thanksgiving morning at 8am. Our goal is to raise enough funds to provide over 30,000 meals for the hungry and homeless of Orange County. Your participation will continue the work of ending homelessness, one life at a time. </t>
  </si>
  <si>
    <t xml:space="preserve"> Now in its 11th year, we invite you to join us for our annual Turkey Trot OC 5K race on Thanksgiving morning at 8am. </t>
  </si>
  <si>
    <t>https://runsignup.com/Race/CA/Tustin/TurkeyTrotOC5K?aflt_token=vkmwDmweQ4iCYn8otSOOnKQ3vCO8buOw</t>
  </si>
  <si>
    <t xml:space="preserve">1 Hope Dr, Tustin, CA </t>
  </si>
  <si>
    <t>Turkey Trot on the Ranch Race</t>
  </si>
  <si>
    <t>Turkey trot on</t>
  </si>
  <si>
    <t>Rancho Mission Viejo’s 8th annual Turkey Trot race on The Ranch features a 10K, 5K, and a Little Gobbler’s 1K that takes participants through the beautiful pathways and walkways of the Community of Rancho Mission Viejo. </t>
  </si>
  <si>
    <t>Rancho Mission Viejo’s 8th annual Turkey Trot race on The Ranch features a 10K, 5K, and a Little Gobbler’s 1K that takes participants through pathways.</t>
  </si>
  <si>
    <t>https://runsignup.com/Race/CA/RanchoMissionViejo/TurkeyTrotonTheRanch?aflt_token=vkmwDmweQ4iCYn8otSOOnKQ3vCO8buOw</t>
  </si>
  <si>
    <t xml:space="preserve">2 Tierno Road, Rancho Mission Viejo, CA </t>
  </si>
  <si>
    <t>Turkey Wobble Race</t>
  </si>
  <si>
    <t>Turkey wobble</t>
  </si>
  <si>
    <t>Turkey Wobble Race - The event course is on one of the most beautiful beaches in America! The start/finish line will be on the corner of Pacific Coast Highway and Beach Boulevard on the sand of the multipurpose path. The 1K, 5K and 10K routes are flat, out and back. Enjoy the pounding surf and cool ocean breeze while traveling under the historic Huntington Beach Pier, the outdoor Surf Museum, and the charming Main St. of Surf City, USA.</t>
  </si>
  <si>
    <t>Turkey Wobble Race - The start/finish line will be on the corner of Pacific Coast Highway and Beach Boulevard on the sand of the multipurpose path.</t>
  </si>
  <si>
    <t>https://hbturkeywobble.com/</t>
  </si>
  <si>
    <t xml:space="preserve">21778 Pacific Coast Hwy, Huntington Beach, CA </t>
  </si>
  <si>
    <t>Pumpkin Palooza Half Marathon Race</t>
  </si>
  <si>
    <t>Pumpkin Palooza Half Marathon race - At High Tide Runs, we pride ourselves on removing barriers and helping individuals achieve their goals. Our low-cost races are cozy and intimate, where you have a chance to get to know your fellow runners and your race director. And don't worry about fuel and water, we've got you covered so you can focus on your performance.</t>
  </si>
  <si>
    <t xml:space="preserve">Pumpkin Palooza Half Marathon race - At High Tide Runs, we pride ourselves on removing barriers and helping individuals achieve their goals. </t>
  </si>
  <si>
    <t>https://runsignup.com/Race/CA/FountainValley/PumpkinPalooza5K10K15KandHalfMarathon?aflt_token=vkmwDmweQ4iCYn8otSOOnKQ3vCO8buOw</t>
  </si>
  <si>
    <t>Into the Wild Fremont Canyon 28.8K Race</t>
  </si>
  <si>
    <t>https://www.intothewildoctrailrun.com/event_date120724.php</t>
  </si>
  <si>
    <r>
      <t>December 7th - Into the Wild Fremont Canyon 28.8k -</t>
    </r>
    <r>
      <rPr>
        <sz val="8"/>
        <rFont val="Arial"/>
        <family val="2"/>
      </rPr>
      <t> Fremont Canyon Nature Preserve, in all its beauty, is situated in the Santa Ana Mountains of Orange County. Fremont Canyon is often referred to by some as "the Yosemite of Orange County," because of its picturesque granite rock formations, caves, ridgelines, and steep canyon walls.</t>
    </r>
  </si>
  <si>
    <r>
      <t>December 7th - Into the Wild Fremont Canyon 28.8k -</t>
    </r>
    <r>
      <rPr>
        <sz val="8"/>
        <rFont val="Arial"/>
        <family val="2"/>
      </rPr>
      <t xml:space="preserve"> Fremont Canyon Nature Preserve, in all its beauty, is situated in the Santa Ana Mountains of Orange County. </t>
    </r>
  </si>
  <si>
    <t xml:space="preserve">1 Irvine Park Road Orange, CA </t>
  </si>
  <si>
    <t>Crystal Cove Trail Run Race</t>
  </si>
  <si>
    <t>https://ultrasignup.com/register.aspx?did=117081</t>
  </si>
  <si>
    <t>Crystal Cove Trail Run Race - Experience the immaculate trails of Orange County, with a start and finish just minutes from the beach. Both distances challenge runners to fire road climbs, ridgeline descents and action-packed single track, but 15k runners take on the Rock Garden, Elevator and the Wall!! The Kids race zips around the nature preserve and shares the same start/finish as the longer distances.</t>
  </si>
  <si>
    <t xml:space="preserve">Crystal Cove Trail Run Race - Experience the immaculate trails of Orange County, with a start and finish just minutes from the beach. </t>
  </si>
  <si>
    <t xml:space="preserve">8471 N. Coast Highway Laguna Beach, CA </t>
  </si>
  <si>
    <t>Run for a Claus Race</t>
  </si>
  <si>
    <t>Run for</t>
  </si>
  <si>
    <t>https://runforaclaus.com/</t>
  </si>
  <si>
    <t>Run for a Claus 5K &amp; 1 Mile race, Presented by Optima Tax Relief, University of California, Irvine</t>
  </si>
  <si>
    <t xml:space="preserve">401 E. Peltason Drive, Irvine, CA </t>
  </si>
  <si>
    <t>Santa Claus For a Cause Race</t>
  </si>
  <si>
    <t>Santa Clause for a Cause Race - A Full-blown Santa Celebration and Christmas-themed race. EVERYTHING Christmas! Live carolers.  Snow falling.  Water &amp; Christmas cookies at the finish! Choose from a Santa beanie, Full Santa suit, or custom race shirt.  Finish medals are a gift box with Santa that make into ornaments! Biggest, BEST finisher medals. </t>
  </si>
  <si>
    <t xml:space="preserve">Santa Clause for a Cause Race - A Full-blown Celebration and Christmas-themed race. Live carolers.  Snow falling.  Water &amp; Christmas cookies at the finish! </t>
  </si>
  <si>
    <t>https://runsignup.com/Race/CA/Irvine/SantaClausForACause?aflt_token=vkmwDmweQ4iCYn8otSOOnKQ3vCO8buOw</t>
  </si>
  <si>
    <t xml:space="preserve">17851 Pacific Coast Hwy, Huntington Beach, CA </t>
  </si>
  <si>
    <t>Chasing Santa Half Marathon Race</t>
  </si>
  <si>
    <t>https://runsignup.com/Race/CA/FountainValley/TwastheNightBefore5K10K15KandHalfMarathon?aflt_token=vkmwDmweQ4iCYn8otSOOnKQ3vCO8buOw</t>
  </si>
  <si>
    <t xml:space="preserve">16801 Euclid St. Fountain Valley, CA </t>
  </si>
  <si>
    <t>Chasing Santa Half Marathon Race - Join us for an exhilarating run through the picturesque Mile Square Park in Fountain Valley, California. Whether you're up for a 5k, 10k or a Half Marathon, this event promises a memorable experience amidst the natural beauty of the park.</t>
  </si>
  <si>
    <t>Chasing Santa Half Marathon Race - Whether you're up for a 5k, 10k or a Half Marathon, this event promises a memorable experience amidst the beauty of the park.</t>
  </si>
  <si>
    <t>Run in the New Years Half Marathon Race</t>
  </si>
  <si>
    <t>Run in the New Years Half Marathon Race - It's SoCal's HEALTHIEST LIVE PARTY!  LIVE BANDS at START/FINISH and on the course! It's YOUR NEW YEAR'S CELEBRATION. WITH New Year's BLING!</t>
  </si>
  <si>
    <t xml:space="preserve">Run in the New Years Half Marathon Race - It's SoCal's HEALTHIEST LIVE PARTY!  LIVE BANDS at START/FINISH and on the course! </t>
  </si>
  <si>
    <t>Run in</t>
  </si>
  <si>
    <t>https://runsignup.com/Race/CA/HuntingtonBeach/RunInTheNewYear2017?aflt_token=vkmwDmweQ4iCYn8otSOOnKQ3vCO8buOw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</si>
</sst>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name val="Times New Roman"/>
      <family val="1"/>
    </font>
    <font>
      <sz val="8"/>
      <name val="Aptos Narrow"/>
      <family val="2"/>
      <scheme val="minor"/>
    </font>
    <font>
      <b/>
      <sz val="7"/>
      <name val="Arial"/>
      <family val="2"/>
    </font>
    <font>
      <sz val="7"/>
      <name val="Arial"/>
      <family val="2"/>
    </font>
    <font>
      <sz val="8"/>
      <name val="Arial"/>
      <family val="2"/>
    </font>
    <font>
      <sz val="8"/>
      <name val="Inherit"/>
    </font>
    <font>
      <sz val="7"/>
      <color rgb="FFFBC9EF"/>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left"/>
    </xf>
    <xf numFmtId="0" fontId="4" fillId="4" borderId="1" xfId="0" applyFont="1" applyFill="1" applyBorder="1" applyAlignment="1">
      <alignment wrapText="1"/>
    </xf>
    <xf numFmtId="0" fontId="0" fillId="4" borderId="0" xfId="0" applyFill="1"/>
    <xf numFmtId="0" fontId="0" fillId="0" borderId="1" xfId="0" applyBorder="1"/>
    <xf numFmtId="0" fontId="0" fillId="3" borderId="1" xfId="0" applyFill="1" applyBorder="1"/>
    <xf numFmtId="0" fontId="5" fillId="4" borderId="1" xfId="0" applyFont="1" applyFill="1" applyBorder="1" applyAlignment="1">
      <alignment vertical="center" wrapText="1"/>
    </xf>
    <xf numFmtId="0" fontId="2" fillId="4" borderId="1" xfId="0" applyFont="1" applyFill="1" applyBorder="1" applyAlignment="1">
      <alignment horizontal="left" wrapText="1"/>
    </xf>
    <xf numFmtId="0" fontId="11" fillId="0" borderId="0" xfId="0" applyFont="1"/>
    <xf numFmtId="14" fontId="2" fillId="5"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38"/>
  <sheetViews>
    <sheetView tabSelected="1" zoomScale="80" zoomScaleNormal="80" workbookViewId="0">
      <pane ySplit="1" topLeftCell="A2" activePane="bottomLeft" state="frozen"/>
      <selection pane="bottomLeft" activeCell="I33" sqref="I33"/>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0" customFormat="1" ht="106" customHeight="1">
      <c r="A2" s="7" t="s">
        <v>58</v>
      </c>
      <c r="B2" s="7" t="s">
        <v>58</v>
      </c>
      <c r="C2" s="13" t="s">
        <v>59</v>
      </c>
      <c r="D2" s="13" t="s">
        <v>60</v>
      </c>
      <c r="E2" s="7">
        <f>LEN(D2)</f>
        <v>152</v>
      </c>
      <c r="F2" s="6" t="s">
        <v>18</v>
      </c>
      <c r="G2" s="9">
        <v>92823</v>
      </c>
      <c r="H2" s="8" t="s">
        <v>63</v>
      </c>
      <c r="I2" s="6" t="s">
        <v>62</v>
      </c>
      <c r="J2" s="7" t="s">
        <v>61</v>
      </c>
      <c r="K2" s="16">
        <v>45543</v>
      </c>
      <c r="L2" s="16">
        <v>45543</v>
      </c>
      <c r="M2" s="7" t="s">
        <v>16</v>
      </c>
      <c r="N2" s="7" t="s">
        <v>41</v>
      </c>
      <c r="O2" s="6" t="str">
        <f>I2</f>
        <v>911</v>
      </c>
      <c r="P2" s="6" t="s">
        <v>17</v>
      </c>
      <c r="Q2" s="6" t="str">
        <f>N2</f>
        <v>Race &amp; endurance</v>
      </c>
    </row>
    <row r="3" spans="1:17" s="10" customFormat="1" ht="66" customHeight="1">
      <c r="A3" s="7" t="s">
        <v>154</v>
      </c>
      <c r="B3" s="7" t="s">
        <v>154</v>
      </c>
      <c r="C3" s="13" t="s">
        <v>157</v>
      </c>
      <c r="D3" s="13" t="s">
        <v>158</v>
      </c>
      <c r="E3" s="7">
        <f>LEN(D3)</f>
        <v>138</v>
      </c>
      <c r="F3" s="6" t="s">
        <v>18</v>
      </c>
      <c r="G3" s="9">
        <v>92806</v>
      </c>
      <c r="H3" s="14" t="s">
        <v>156</v>
      </c>
      <c r="I3" s="6" t="s">
        <v>32</v>
      </c>
      <c r="J3" s="7" t="s">
        <v>155</v>
      </c>
      <c r="K3" s="16">
        <v>45620</v>
      </c>
      <c r="L3" s="16">
        <v>45620</v>
      </c>
      <c r="M3" s="7" t="s">
        <v>16</v>
      </c>
      <c r="N3" s="7" t="s">
        <v>41</v>
      </c>
      <c r="O3" s="6" t="str">
        <f>I3</f>
        <v>Anaheim</v>
      </c>
      <c r="P3" s="6" t="s">
        <v>17</v>
      </c>
      <c r="Q3" s="6" t="str">
        <f>N3</f>
        <v>Race &amp; endurance</v>
      </c>
    </row>
    <row r="4" spans="1:17" s="10" customFormat="1" ht="108.5" customHeight="1">
      <c r="A4" s="7" t="s">
        <v>79</v>
      </c>
      <c r="B4" s="7" t="s">
        <v>79</v>
      </c>
      <c r="C4" s="13" t="s">
        <v>78</v>
      </c>
      <c r="D4" s="13" t="s">
        <v>80</v>
      </c>
      <c r="E4" s="7">
        <f>LEN(D4)</f>
        <v>150</v>
      </c>
      <c r="F4" s="6" t="s">
        <v>18</v>
      </c>
      <c r="G4" s="9">
        <v>92806</v>
      </c>
      <c r="H4" s="14" t="s">
        <v>75</v>
      </c>
      <c r="I4" s="6" t="s">
        <v>76</v>
      </c>
      <c r="J4" s="7" t="s">
        <v>77</v>
      </c>
      <c r="K4" s="16">
        <v>45556</v>
      </c>
      <c r="L4" s="16">
        <v>45556</v>
      </c>
      <c r="M4" s="7" t="s">
        <v>16</v>
      </c>
      <c r="N4" s="7" t="s">
        <v>41</v>
      </c>
      <c r="O4" s="6" t="str">
        <f>I4</f>
        <v>Angel</v>
      </c>
      <c r="P4" s="6" t="s">
        <v>17</v>
      </c>
      <c r="Q4" s="6" t="str">
        <f>N4</f>
        <v>Race &amp; endurance</v>
      </c>
    </row>
    <row r="5" spans="1:17" s="10" customFormat="1" ht="103.5" customHeight="1">
      <c r="A5" s="7" t="s">
        <v>46</v>
      </c>
      <c r="B5" s="7" t="s">
        <v>46</v>
      </c>
      <c r="C5" s="13" t="s">
        <v>47</v>
      </c>
      <c r="D5" s="13" t="s">
        <v>48</v>
      </c>
      <c r="E5" s="7">
        <f>LEN(D5)</f>
        <v>140</v>
      </c>
      <c r="F5" s="8" t="s">
        <v>18</v>
      </c>
      <c r="G5" s="9">
        <v>92806</v>
      </c>
      <c r="H5" s="8" t="s">
        <v>51</v>
      </c>
      <c r="I5" s="6" t="s">
        <v>49</v>
      </c>
      <c r="J5" s="7" t="s">
        <v>50</v>
      </c>
      <c r="K5" s="16">
        <v>45528</v>
      </c>
      <c r="L5" s="16">
        <v>45528</v>
      </c>
      <c r="M5" s="7" t="s">
        <v>16</v>
      </c>
      <c r="N5" s="7" t="s">
        <v>41</v>
      </c>
      <c r="O5" s="6" t="str">
        <f>I5</f>
        <v>Big</v>
      </c>
      <c r="P5" s="6" t="s">
        <v>17</v>
      </c>
      <c r="Q5" s="6" t="str">
        <f>N5</f>
        <v>Race &amp; endurance</v>
      </c>
    </row>
    <row r="6" spans="1:17" s="10" customFormat="1" ht="66.5" customHeight="1">
      <c r="A6" s="7" t="s">
        <v>139</v>
      </c>
      <c r="B6" s="7" t="s">
        <v>139</v>
      </c>
      <c r="C6" s="13" t="s">
        <v>140</v>
      </c>
      <c r="D6" s="13" t="s">
        <v>141</v>
      </c>
      <c r="E6" s="7">
        <f>LEN(D6)</f>
        <v>157</v>
      </c>
      <c r="F6" s="6" t="s">
        <v>18</v>
      </c>
      <c r="G6" s="9">
        <v>92676</v>
      </c>
      <c r="H6" s="14" t="s">
        <v>143</v>
      </c>
      <c r="I6" s="6" t="s">
        <v>29</v>
      </c>
      <c r="J6" s="7" t="s">
        <v>142</v>
      </c>
      <c r="K6" s="16">
        <v>45605</v>
      </c>
      <c r="L6" s="16">
        <v>45605</v>
      </c>
      <c r="M6" s="7" t="s">
        <v>16</v>
      </c>
      <c r="N6" s="7" t="s">
        <v>41</v>
      </c>
      <c r="O6" s="6" t="str">
        <f>I6</f>
        <v>Bubble</v>
      </c>
      <c r="P6" s="6" t="s">
        <v>17</v>
      </c>
      <c r="Q6" s="6" t="str">
        <f>N6</f>
        <v>Race &amp; endurance</v>
      </c>
    </row>
    <row r="7" spans="1:17" s="10" customFormat="1" ht="74" customHeight="1">
      <c r="A7" s="7" t="s">
        <v>111</v>
      </c>
      <c r="B7" s="7" t="s">
        <v>111</v>
      </c>
      <c r="C7" s="13" t="s">
        <v>116</v>
      </c>
      <c r="D7" s="13" t="s">
        <v>114</v>
      </c>
      <c r="E7" s="7">
        <f>LEN(D7)</f>
        <v>154</v>
      </c>
      <c r="F7" s="6" t="s">
        <v>18</v>
      </c>
      <c r="G7" s="9">
        <v>92806</v>
      </c>
      <c r="H7" s="14" t="s">
        <v>115</v>
      </c>
      <c r="I7" s="6" t="s">
        <v>112</v>
      </c>
      <c r="J7" s="7" t="s">
        <v>113</v>
      </c>
      <c r="K7" s="16">
        <v>45577</v>
      </c>
      <c r="L7" s="16">
        <v>45577</v>
      </c>
      <c r="M7" s="7" t="s">
        <v>16</v>
      </c>
      <c r="N7" s="7" t="s">
        <v>41</v>
      </c>
      <c r="O7" s="6" t="str">
        <f>I7</f>
        <v>California</v>
      </c>
      <c r="P7" s="6" t="s">
        <v>17</v>
      </c>
      <c r="Q7" s="6" t="str">
        <f>N7</f>
        <v>Race &amp; endurance</v>
      </c>
    </row>
    <row r="8" spans="1:17" s="10" customFormat="1" ht="100.5" customHeight="1">
      <c r="A8" s="7" t="s">
        <v>102</v>
      </c>
      <c r="B8" s="7" t="s">
        <v>102</v>
      </c>
      <c r="C8" s="13" t="s">
        <v>105</v>
      </c>
      <c r="D8" s="13" t="s">
        <v>106</v>
      </c>
      <c r="E8" s="7">
        <f>LEN(D8)</f>
        <v>118</v>
      </c>
      <c r="F8" s="6" t="s">
        <v>18</v>
      </c>
      <c r="G8" s="9">
        <v>92647</v>
      </c>
      <c r="H8" s="14" t="s">
        <v>104</v>
      </c>
      <c r="I8" s="6" t="s">
        <v>25</v>
      </c>
      <c r="J8" s="7" t="s">
        <v>103</v>
      </c>
      <c r="K8" s="16">
        <v>45570</v>
      </c>
      <c r="L8" s="16">
        <v>45570</v>
      </c>
      <c r="M8" s="7" t="s">
        <v>16</v>
      </c>
      <c r="N8" s="7" t="s">
        <v>41</v>
      </c>
      <c r="O8" s="6" t="str">
        <f>I8</f>
        <v>Central</v>
      </c>
      <c r="P8" s="6" t="s">
        <v>17</v>
      </c>
      <c r="Q8" s="6" t="str">
        <f>N8</f>
        <v>Race &amp; endurance</v>
      </c>
    </row>
    <row r="9" spans="1:17" s="10" customFormat="1" ht="58" customHeight="1">
      <c r="A9" s="7" t="s">
        <v>211</v>
      </c>
      <c r="B9" s="7" t="s">
        <v>211</v>
      </c>
      <c r="C9" s="13" t="s">
        <v>214</v>
      </c>
      <c r="D9" s="13" t="s">
        <v>215</v>
      </c>
      <c r="E9" s="7">
        <f>LEN(D9)</f>
        <v>160</v>
      </c>
      <c r="F9" s="6" t="s">
        <v>18</v>
      </c>
      <c r="G9" s="9">
        <v>92708</v>
      </c>
      <c r="H9" s="14" t="s">
        <v>213</v>
      </c>
      <c r="I9" s="6" t="s">
        <v>38</v>
      </c>
      <c r="J9" s="7" t="s">
        <v>212</v>
      </c>
      <c r="K9" s="16">
        <v>45648</v>
      </c>
      <c r="L9" s="16">
        <v>45648</v>
      </c>
      <c r="M9" s="7" t="s">
        <v>16</v>
      </c>
      <c r="N9" s="7" t="s">
        <v>41</v>
      </c>
      <c r="O9" s="6" t="str">
        <f>I9</f>
        <v>Chasing</v>
      </c>
      <c r="P9" s="6" t="s">
        <v>17</v>
      </c>
      <c r="Q9" s="6" t="str">
        <f>N9</f>
        <v>Race &amp; endurance</v>
      </c>
    </row>
    <row r="10" spans="1:17" s="10" customFormat="1" ht="73.5">
      <c r="A10" s="7" t="s">
        <v>196</v>
      </c>
      <c r="B10" s="7" t="s">
        <v>196</v>
      </c>
      <c r="C10" s="13" t="s">
        <v>198</v>
      </c>
      <c r="D10" s="13" t="s">
        <v>199</v>
      </c>
      <c r="E10" s="7">
        <f>LEN(D10)</f>
        <v>134</v>
      </c>
      <c r="F10" s="6" t="s">
        <v>18</v>
      </c>
      <c r="G10" s="9">
        <v>92651</v>
      </c>
      <c r="H10" s="14" t="s">
        <v>200</v>
      </c>
      <c r="I10" s="6" t="s">
        <v>36</v>
      </c>
      <c r="J10" s="7" t="s">
        <v>197</v>
      </c>
      <c r="K10" s="16">
        <v>45640</v>
      </c>
      <c r="L10" s="16">
        <v>45640</v>
      </c>
      <c r="M10" s="7" t="s">
        <v>16</v>
      </c>
      <c r="N10" s="7" t="s">
        <v>41</v>
      </c>
      <c r="O10" s="6" t="str">
        <f>I10</f>
        <v>Crystal</v>
      </c>
      <c r="P10" s="6" t="s">
        <v>17</v>
      </c>
      <c r="Q10" s="6" t="str">
        <f>N10</f>
        <v>Race &amp; endurance</v>
      </c>
    </row>
    <row r="11" spans="1:17" s="10" customFormat="1" ht="122.5" customHeight="1">
      <c r="A11" s="7" t="s">
        <v>107</v>
      </c>
      <c r="B11" s="7" t="s">
        <v>107</v>
      </c>
      <c r="C11" s="13" t="s">
        <v>108</v>
      </c>
      <c r="D11" s="13" t="s">
        <v>108</v>
      </c>
      <c r="E11" s="7">
        <f>LEN(D11)</f>
        <v>111</v>
      </c>
      <c r="F11" s="6" t="s">
        <v>18</v>
      </c>
      <c r="G11" s="9">
        <v>90630</v>
      </c>
      <c r="H11" s="14" t="s">
        <v>110</v>
      </c>
      <c r="I11" s="6" t="s">
        <v>26</v>
      </c>
      <c r="J11" s="7" t="s">
        <v>109</v>
      </c>
      <c r="K11" s="16">
        <v>45570</v>
      </c>
      <c r="L11" s="16">
        <v>45570</v>
      </c>
      <c r="M11" s="7" t="s">
        <v>16</v>
      </c>
      <c r="N11" s="7" t="s">
        <v>41</v>
      </c>
      <c r="O11" s="6" t="str">
        <f>I11</f>
        <v>Cypress</v>
      </c>
      <c r="P11" s="6" t="s">
        <v>17</v>
      </c>
      <c r="Q11" s="6" t="str">
        <f>N11</f>
        <v>Race &amp; endurance</v>
      </c>
    </row>
    <row r="12" spans="1:17" s="10" customFormat="1" ht="82" customHeight="1">
      <c r="A12" s="7" t="s">
        <v>159</v>
      </c>
      <c r="B12" s="7" t="s">
        <v>159</v>
      </c>
      <c r="C12" s="13" t="s">
        <v>161</v>
      </c>
      <c r="D12" s="13" t="s">
        <v>162</v>
      </c>
      <c r="E12" s="7">
        <f>LEN(D12)</f>
        <v>126</v>
      </c>
      <c r="F12" s="6" t="s">
        <v>18</v>
      </c>
      <c r="G12" s="9">
        <v>92629</v>
      </c>
      <c r="H12" s="14" t="s">
        <v>163</v>
      </c>
      <c r="I12" s="6" t="s">
        <v>33</v>
      </c>
      <c r="J12" s="7" t="s">
        <v>160</v>
      </c>
      <c r="K12" s="16">
        <v>45624</v>
      </c>
      <c r="L12" s="16">
        <v>45624</v>
      </c>
      <c r="M12" s="7" t="s">
        <v>16</v>
      </c>
      <c r="N12" s="7" t="s">
        <v>41</v>
      </c>
      <c r="O12" s="6" t="str">
        <f>I12</f>
        <v>Dana</v>
      </c>
      <c r="P12" s="6" t="s">
        <v>17</v>
      </c>
      <c r="Q12" s="6" t="str">
        <f>N12</f>
        <v>Race &amp; endurance</v>
      </c>
    </row>
    <row r="13" spans="1:17" s="10" customFormat="1" ht="98" customHeight="1">
      <c r="A13" s="7" t="s">
        <v>134</v>
      </c>
      <c r="B13" s="7" t="s">
        <v>134</v>
      </c>
      <c r="C13" s="13" t="s">
        <v>135</v>
      </c>
      <c r="D13" s="13" t="s">
        <v>136</v>
      </c>
      <c r="E13" s="7">
        <f>LEN(D13)</f>
        <v>160</v>
      </c>
      <c r="F13" s="6" t="s">
        <v>18</v>
      </c>
      <c r="G13" s="9">
        <v>92780</v>
      </c>
      <c r="H13" s="14" t="s">
        <v>138</v>
      </c>
      <c r="I13" s="6" t="s">
        <v>28</v>
      </c>
      <c r="J13" s="7" t="s">
        <v>137</v>
      </c>
      <c r="K13" s="16">
        <v>45599</v>
      </c>
      <c r="L13" s="16">
        <v>45599</v>
      </c>
      <c r="M13" s="7" t="s">
        <v>16</v>
      </c>
      <c r="N13" s="7" t="s">
        <v>41</v>
      </c>
      <c r="O13" s="6" t="str">
        <f>I13</f>
        <v>Dino</v>
      </c>
      <c r="P13" s="6" t="s">
        <v>17</v>
      </c>
      <c r="Q13" s="6" t="str">
        <f>N13</f>
        <v>Race &amp; endurance</v>
      </c>
    </row>
    <row r="14" spans="1:17" s="10" customFormat="1" ht="63">
      <c r="A14" s="7" t="s">
        <v>86</v>
      </c>
      <c r="B14" s="7" t="s">
        <v>86</v>
      </c>
      <c r="C14" s="13" t="s">
        <v>87</v>
      </c>
      <c r="D14" s="13" t="s">
        <v>88</v>
      </c>
      <c r="E14" s="7">
        <f>LEN(D14)</f>
        <v>129</v>
      </c>
      <c r="F14" s="6" t="s">
        <v>18</v>
      </c>
      <c r="G14" s="9">
        <v>92679</v>
      </c>
      <c r="H14" s="14" t="s">
        <v>90</v>
      </c>
      <c r="I14" s="6" t="s">
        <v>23</v>
      </c>
      <c r="J14" s="7" t="s">
        <v>89</v>
      </c>
      <c r="K14" s="16">
        <v>45563</v>
      </c>
      <c r="L14" s="16">
        <v>45563</v>
      </c>
      <c r="M14" s="7" t="s">
        <v>16</v>
      </c>
      <c r="N14" s="7" t="s">
        <v>41</v>
      </c>
      <c r="O14" s="6" t="str">
        <f>I14</f>
        <v>Dove</v>
      </c>
      <c r="P14" s="6" t="s">
        <v>17</v>
      </c>
      <c r="Q14" s="6" t="str">
        <f>N14</f>
        <v>Race &amp; endurance</v>
      </c>
    </row>
    <row r="15" spans="1:17" s="10" customFormat="1" ht="57" customHeight="1">
      <c r="A15" s="7" t="s">
        <v>123</v>
      </c>
      <c r="B15" s="7" t="s">
        <v>123</v>
      </c>
      <c r="C15" s="13" t="s">
        <v>125</v>
      </c>
      <c r="D15" s="13" t="s">
        <v>126</v>
      </c>
      <c r="E15" s="7">
        <f>LEN(D15)</f>
        <v>156</v>
      </c>
      <c r="F15" s="6" t="s">
        <v>18</v>
      </c>
      <c r="G15" s="9">
        <v>92648</v>
      </c>
      <c r="H15" s="14" t="s">
        <v>128</v>
      </c>
      <c r="I15" s="6" t="s">
        <v>124</v>
      </c>
      <c r="J15" s="7" t="s">
        <v>127</v>
      </c>
      <c r="K15" s="16">
        <v>45585</v>
      </c>
      <c r="L15" s="16">
        <v>45585</v>
      </c>
      <c r="M15" s="7" t="s">
        <v>16</v>
      </c>
      <c r="N15" s="7" t="s">
        <v>41</v>
      </c>
      <c r="O15" s="6" t="str">
        <f>I15</f>
        <v>Fit</v>
      </c>
      <c r="P15" s="6" t="s">
        <v>17</v>
      </c>
      <c r="Q15" s="6" t="str">
        <f>N15</f>
        <v>Race &amp; endurance</v>
      </c>
    </row>
    <row r="16" spans="1:17" s="10" customFormat="1" ht="90.5" customHeight="1">
      <c r="A16" s="7" t="s">
        <v>129</v>
      </c>
      <c r="B16" s="7" t="s">
        <v>129</v>
      </c>
      <c r="C16" s="13" t="s">
        <v>130</v>
      </c>
      <c r="D16" s="13" t="s">
        <v>131</v>
      </c>
      <c r="E16" s="7">
        <f>LEN(D16)</f>
        <v>148</v>
      </c>
      <c r="F16" s="6" t="s">
        <v>18</v>
      </c>
      <c r="G16" s="9">
        <v>92708</v>
      </c>
      <c r="H16" s="14" t="s">
        <v>132</v>
      </c>
      <c r="I16" s="6" t="s">
        <v>27</v>
      </c>
      <c r="J16" s="7" t="s">
        <v>133</v>
      </c>
      <c r="K16" s="16">
        <v>45592</v>
      </c>
      <c r="L16" s="16">
        <v>45592</v>
      </c>
      <c r="M16" s="7" t="s">
        <v>16</v>
      </c>
      <c r="N16" s="7" t="s">
        <v>41</v>
      </c>
      <c r="O16" s="6" t="str">
        <f>I16</f>
        <v>Halloween</v>
      </c>
      <c r="P16" s="6" t="s">
        <v>17</v>
      </c>
      <c r="Q16" s="6" t="str">
        <f>N16</f>
        <v>Race &amp; endurance</v>
      </c>
    </row>
    <row r="17" spans="1:17" s="10" customFormat="1" ht="88.5" customHeight="1">
      <c r="A17" s="7" t="s">
        <v>39</v>
      </c>
      <c r="B17" s="7" t="s">
        <v>45</v>
      </c>
      <c r="C17" s="13" t="s">
        <v>42</v>
      </c>
      <c r="D17" s="13" t="s">
        <v>43</v>
      </c>
      <c r="E17" s="7">
        <f>LEN(D17)</f>
        <v>158</v>
      </c>
      <c r="F17" s="6" t="s">
        <v>18</v>
      </c>
      <c r="G17" s="8">
        <v>92708</v>
      </c>
      <c r="H17" s="9" t="s">
        <v>40</v>
      </c>
      <c r="I17" s="6" t="s">
        <v>20</v>
      </c>
      <c r="J17" s="7" t="s">
        <v>44</v>
      </c>
      <c r="K17" s="16">
        <v>45522</v>
      </c>
      <c r="L17" s="16">
        <v>45522</v>
      </c>
      <c r="M17" s="7" t="s">
        <v>16</v>
      </c>
      <c r="N17" s="7" t="s">
        <v>41</v>
      </c>
      <c r="O17" s="6" t="str">
        <f>I17</f>
        <v>Heros</v>
      </c>
      <c r="P17" s="6" t="s">
        <v>17</v>
      </c>
      <c r="Q17" s="6" t="str">
        <f>N17</f>
        <v>Race &amp; endurance</v>
      </c>
    </row>
    <row r="18" spans="1:17" s="10" customFormat="1" ht="86" customHeight="1">
      <c r="A18" s="7" t="s">
        <v>91</v>
      </c>
      <c r="B18" s="7" t="s">
        <v>91</v>
      </c>
      <c r="C18" s="13" t="s">
        <v>92</v>
      </c>
      <c r="D18" s="13" t="s">
        <v>93</v>
      </c>
      <c r="E18" s="7">
        <f>LEN(D18)</f>
        <v>90</v>
      </c>
      <c r="F18" s="6" t="s">
        <v>18</v>
      </c>
      <c r="G18" s="9">
        <v>92708</v>
      </c>
      <c r="H18" s="14" t="s">
        <v>95</v>
      </c>
      <c r="I18" s="6" t="s">
        <v>24</v>
      </c>
      <c r="J18" s="7" t="s">
        <v>94</v>
      </c>
      <c r="K18" s="16">
        <v>45563</v>
      </c>
      <c r="L18" s="16">
        <v>45563</v>
      </c>
      <c r="M18" s="7" t="s">
        <v>16</v>
      </c>
      <c r="N18" s="7" t="s">
        <v>41</v>
      </c>
      <c r="O18" s="6" t="str">
        <f>I18</f>
        <v>Hope</v>
      </c>
      <c r="P18" s="6" t="s">
        <v>17</v>
      </c>
      <c r="Q18" s="6" t="str">
        <f>N18</f>
        <v>Race &amp; endurance</v>
      </c>
    </row>
    <row r="19" spans="1:17" s="10" customFormat="1" ht="79" customHeight="1">
      <c r="A19" s="7" t="s">
        <v>191</v>
      </c>
      <c r="B19" s="7" t="s">
        <v>191</v>
      </c>
      <c r="C19" s="13" t="s">
        <v>193</v>
      </c>
      <c r="D19" s="13" t="s">
        <v>194</v>
      </c>
      <c r="E19" s="7">
        <f>LEN(D19)</f>
        <v>160</v>
      </c>
      <c r="F19" s="6" t="s">
        <v>18</v>
      </c>
      <c r="G19" s="9">
        <v>92869</v>
      </c>
      <c r="H19" s="14" t="s">
        <v>195</v>
      </c>
      <c r="I19" s="6" t="s">
        <v>19</v>
      </c>
      <c r="J19" s="7" t="s">
        <v>192</v>
      </c>
      <c r="K19" s="16">
        <v>45633</v>
      </c>
      <c r="L19" s="16">
        <v>45633</v>
      </c>
      <c r="M19" s="7" t="s">
        <v>16</v>
      </c>
      <c r="N19" s="7" t="s">
        <v>41</v>
      </c>
      <c r="O19" s="6" t="str">
        <f>I19</f>
        <v>Into</v>
      </c>
      <c r="P19" s="6" t="s">
        <v>17</v>
      </c>
      <c r="Q19" s="6" t="str">
        <f>N19</f>
        <v>Race &amp; endurance</v>
      </c>
    </row>
    <row r="20" spans="1:17" s="10" customFormat="1" ht="126.5" customHeight="1">
      <c r="A20" s="7" t="s">
        <v>144</v>
      </c>
      <c r="B20" s="7" t="s">
        <v>144</v>
      </c>
      <c r="C20" s="13" t="s">
        <v>145</v>
      </c>
      <c r="D20" s="13" t="s">
        <v>146</v>
      </c>
      <c r="E20" s="7">
        <f>LEN(D20)</f>
        <v>159</v>
      </c>
      <c r="F20" s="6" t="s">
        <v>18</v>
      </c>
      <c r="G20" s="9">
        <v>92618</v>
      </c>
      <c r="H20" s="14" t="s">
        <v>148</v>
      </c>
      <c r="I20" s="6" t="s">
        <v>30</v>
      </c>
      <c r="J20" s="7" t="s">
        <v>147</v>
      </c>
      <c r="K20" s="16">
        <v>45605</v>
      </c>
      <c r="L20" s="16">
        <v>45605</v>
      </c>
      <c r="M20" s="7" t="s">
        <v>16</v>
      </c>
      <c r="N20" s="7" t="s">
        <v>41</v>
      </c>
      <c r="O20" s="6" t="str">
        <f>I20</f>
        <v>Kaiser</v>
      </c>
      <c r="P20" s="6" t="s">
        <v>17</v>
      </c>
      <c r="Q20" s="6" t="str">
        <f>N20</f>
        <v>Race &amp; endurance</v>
      </c>
    </row>
    <row r="21" spans="1:17" s="10" customFormat="1" ht="103" customHeight="1">
      <c r="A21" s="7" t="s">
        <v>96</v>
      </c>
      <c r="B21" s="7" t="s">
        <v>96</v>
      </c>
      <c r="C21" s="13" t="s">
        <v>99</v>
      </c>
      <c r="D21" s="13" t="s">
        <v>100</v>
      </c>
      <c r="E21" s="7">
        <f>LEN(D21)</f>
        <v>153</v>
      </c>
      <c r="F21" s="6" t="s">
        <v>18</v>
      </c>
      <c r="G21" s="9">
        <v>92704</v>
      </c>
      <c r="H21" s="14" t="s">
        <v>98</v>
      </c>
      <c r="I21" s="6" t="s">
        <v>97</v>
      </c>
      <c r="J21" s="7" t="s">
        <v>101</v>
      </c>
      <c r="K21" s="16">
        <v>45564</v>
      </c>
      <c r="L21" s="16">
        <v>45564</v>
      </c>
      <c r="M21" s="7" t="s">
        <v>16</v>
      </c>
      <c r="N21" s="7" t="s">
        <v>41</v>
      </c>
      <c r="O21" s="6" t="str">
        <f>I21</f>
        <v>Light</v>
      </c>
      <c r="P21" s="6" t="s">
        <v>17</v>
      </c>
      <c r="Q21" s="6" t="str">
        <f>N21</f>
        <v>Race &amp; endurance</v>
      </c>
    </row>
    <row r="22" spans="1:17" s="10" customFormat="1" ht="34">
      <c r="A22" s="7" t="s">
        <v>70</v>
      </c>
      <c r="B22" s="7" t="s">
        <v>70</v>
      </c>
      <c r="C22" s="13" t="s">
        <v>71</v>
      </c>
      <c r="D22" s="13" t="s">
        <v>71</v>
      </c>
      <c r="E22" s="7">
        <f>LEN(D22)</f>
        <v>153</v>
      </c>
      <c r="F22" s="6" t="s">
        <v>18</v>
      </c>
      <c r="G22" s="9">
        <v>92692</v>
      </c>
      <c r="H22" s="8" t="s">
        <v>74</v>
      </c>
      <c r="I22" s="6" t="s">
        <v>21</v>
      </c>
      <c r="J22" s="7" t="s">
        <v>73</v>
      </c>
      <c r="K22" s="16">
        <v>45550</v>
      </c>
      <c r="L22" s="16">
        <v>45550</v>
      </c>
      <c r="M22" s="7" t="s">
        <v>16</v>
      </c>
      <c r="N22" s="7" t="s">
        <v>41</v>
      </c>
      <c r="O22" s="6" t="str">
        <f>I22</f>
        <v>Pacific</v>
      </c>
      <c r="P22" s="6" t="s">
        <v>17</v>
      </c>
      <c r="Q22" s="6" t="str">
        <f>N22</f>
        <v>Race &amp; endurance</v>
      </c>
    </row>
    <row r="23" spans="1:17" s="10" customFormat="1" ht="79" customHeight="1">
      <c r="A23" s="7" t="s">
        <v>164</v>
      </c>
      <c r="B23" s="7" t="s">
        <v>164</v>
      </c>
      <c r="C23" s="13" t="s">
        <v>165</v>
      </c>
      <c r="D23" s="13" t="s">
        <v>166</v>
      </c>
      <c r="E23" s="7">
        <f>LEN(D23)</f>
        <v>138</v>
      </c>
      <c r="F23" s="6" t="s">
        <v>18</v>
      </c>
      <c r="G23" s="9">
        <v>92807</v>
      </c>
      <c r="H23" s="14" t="s">
        <v>168</v>
      </c>
      <c r="I23" s="6" t="s">
        <v>34</v>
      </c>
      <c r="J23" s="7" t="s">
        <v>167</v>
      </c>
      <c r="K23" s="16">
        <v>45624</v>
      </c>
      <c r="L23" s="16">
        <v>45624</v>
      </c>
      <c r="M23" s="7" t="s">
        <v>16</v>
      </c>
      <c r="N23" s="7" t="s">
        <v>41</v>
      </c>
      <c r="O23" s="6" t="str">
        <f>I23</f>
        <v>Plymouth</v>
      </c>
      <c r="P23" s="6" t="s">
        <v>17</v>
      </c>
      <c r="Q23" s="6" t="str">
        <f>N23</f>
        <v>Race &amp; endurance</v>
      </c>
    </row>
    <row r="24" spans="1:17" s="10" customFormat="1" ht="62" customHeight="1">
      <c r="A24" s="7" t="s">
        <v>187</v>
      </c>
      <c r="B24" s="7" t="s">
        <v>187</v>
      </c>
      <c r="C24" s="13" t="s">
        <v>188</v>
      </c>
      <c r="D24" s="13" t="s">
        <v>189</v>
      </c>
      <c r="E24" s="7">
        <f>LEN(D24)</f>
        <v>141</v>
      </c>
      <c r="F24" s="6" t="s">
        <v>18</v>
      </c>
      <c r="G24" s="9">
        <v>92708</v>
      </c>
      <c r="H24" s="14" t="s">
        <v>132</v>
      </c>
      <c r="I24" s="6" t="s">
        <v>35</v>
      </c>
      <c r="J24" s="7" t="s">
        <v>190</v>
      </c>
      <c r="K24" s="16">
        <v>45626</v>
      </c>
      <c r="L24" s="16">
        <v>45626</v>
      </c>
      <c r="M24" s="7" t="s">
        <v>16</v>
      </c>
      <c r="N24" s="7" t="s">
        <v>41</v>
      </c>
      <c r="O24" s="6" t="str">
        <f>I24</f>
        <v>Pumpkin</v>
      </c>
      <c r="P24" s="6" t="s">
        <v>17</v>
      </c>
      <c r="Q24" s="6" t="str">
        <f>N24</f>
        <v>Race &amp; endurance</v>
      </c>
    </row>
    <row r="25" spans="1:17" s="10" customFormat="1" ht="21">
      <c r="A25" s="7" t="s">
        <v>201</v>
      </c>
      <c r="B25" s="7" t="s">
        <v>201</v>
      </c>
      <c r="C25" s="13" t="s">
        <v>204</v>
      </c>
      <c r="D25" s="13" t="s">
        <v>204</v>
      </c>
      <c r="E25" s="7">
        <f>LEN(D25)</f>
        <v>98</v>
      </c>
      <c r="F25" s="6" t="s">
        <v>18</v>
      </c>
      <c r="G25" s="9">
        <v>92617</v>
      </c>
      <c r="H25" s="14" t="s">
        <v>205</v>
      </c>
      <c r="I25" s="6" t="s">
        <v>202</v>
      </c>
      <c r="J25" s="7" t="s">
        <v>203</v>
      </c>
      <c r="K25" s="16">
        <v>45640</v>
      </c>
      <c r="L25" s="16">
        <v>45640</v>
      </c>
      <c r="M25" s="7" t="s">
        <v>16</v>
      </c>
      <c r="N25" s="7" t="s">
        <v>41</v>
      </c>
      <c r="O25" s="6" t="str">
        <f>I25</f>
        <v>Run for</v>
      </c>
      <c r="P25" s="6" t="s">
        <v>17</v>
      </c>
      <c r="Q25" s="6" t="str">
        <f>N25</f>
        <v>Race &amp; endurance</v>
      </c>
    </row>
    <row r="26" spans="1:17" s="10" customFormat="1" ht="69.5" customHeight="1">
      <c r="A26" s="7" t="s">
        <v>216</v>
      </c>
      <c r="B26" s="7" t="s">
        <v>216</v>
      </c>
      <c r="C26" s="13" t="s">
        <v>217</v>
      </c>
      <c r="D26" s="13" t="s">
        <v>218</v>
      </c>
      <c r="E26" s="7">
        <f>LEN(D26)</f>
        <v>125</v>
      </c>
      <c r="F26" s="6" t="s">
        <v>18</v>
      </c>
      <c r="G26" s="9">
        <v>92648</v>
      </c>
      <c r="H26" s="14" t="s">
        <v>128</v>
      </c>
      <c r="I26" s="6" t="s">
        <v>219</v>
      </c>
      <c r="J26" s="7" t="s">
        <v>220</v>
      </c>
      <c r="K26" s="16">
        <v>45655</v>
      </c>
      <c r="L26" s="16">
        <v>45655</v>
      </c>
      <c r="M26" s="7" t="s">
        <v>16</v>
      </c>
      <c r="N26" s="7" t="s">
        <v>41</v>
      </c>
      <c r="O26" s="6" t="str">
        <f>I26</f>
        <v>Run in</v>
      </c>
      <c r="P26" s="6" t="s">
        <v>17</v>
      </c>
      <c r="Q26" s="6" t="str">
        <f>N26</f>
        <v>Race &amp; endurance</v>
      </c>
    </row>
    <row r="27" spans="1:17" s="10" customFormat="1" ht="68">
      <c r="A27" s="7" t="s">
        <v>117</v>
      </c>
      <c r="B27" s="7" t="s">
        <v>117</v>
      </c>
      <c r="C27" s="13" t="s">
        <v>119</v>
      </c>
      <c r="D27" s="13" t="s">
        <v>120</v>
      </c>
      <c r="E27" s="7">
        <f>LEN(D27)</f>
        <v>147</v>
      </c>
      <c r="F27" s="6" t="s">
        <v>18</v>
      </c>
      <c r="G27" s="9">
        <v>92660</v>
      </c>
      <c r="H27" s="14" t="s">
        <v>122</v>
      </c>
      <c r="I27" s="6" t="s">
        <v>118</v>
      </c>
      <c r="J27" s="7" t="s">
        <v>121</v>
      </c>
      <c r="K27" s="16">
        <v>45577</v>
      </c>
      <c r="L27" s="16">
        <v>45577</v>
      </c>
      <c r="M27" s="7" t="s">
        <v>16</v>
      </c>
      <c r="N27" s="7" t="s">
        <v>41</v>
      </c>
      <c r="O27" s="6" t="str">
        <f>I27</f>
        <v>Run4</v>
      </c>
      <c r="P27" s="6" t="s">
        <v>17</v>
      </c>
      <c r="Q27" s="6" t="str">
        <f>N27</f>
        <v>Race &amp; endurance</v>
      </c>
    </row>
    <row r="28" spans="1:17" s="10" customFormat="1" ht="84.5" customHeight="1">
      <c r="A28" s="7" t="s">
        <v>206</v>
      </c>
      <c r="B28" s="7" t="s">
        <v>206</v>
      </c>
      <c r="C28" s="13" t="s">
        <v>207</v>
      </c>
      <c r="D28" s="13" t="s">
        <v>208</v>
      </c>
      <c r="E28" s="7">
        <f>LEN(D28)</f>
        <v>156</v>
      </c>
      <c r="F28" s="6" t="s">
        <v>18</v>
      </c>
      <c r="G28" s="9">
        <v>92649</v>
      </c>
      <c r="H28" s="14" t="s">
        <v>210</v>
      </c>
      <c r="I28" s="6" t="s">
        <v>37</v>
      </c>
      <c r="J28" s="7" t="s">
        <v>209</v>
      </c>
      <c r="K28" s="16">
        <v>45640</v>
      </c>
      <c r="L28" s="16">
        <v>45640</v>
      </c>
      <c r="M28" s="7" t="s">
        <v>16</v>
      </c>
      <c r="N28" s="7" t="s">
        <v>41</v>
      </c>
      <c r="O28" s="6" t="str">
        <f>I28</f>
        <v>Santa</v>
      </c>
      <c r="P28" s="6" t="s">
        <v>17</v>
      </c>
      <c r="Q28" s="6" t="str">
        <f>N28</f>
        <v>Race &amp; endurance</v>
      </c>
    </row>
    <row r="29" spans="1:17" s="10" customFormat="1" ht="88.5" customHeight="1">
      <c r="A29" s="7" t="s">
        <v>149</v>
      </c>
      <c r="B29" s="7" t="s">
        <v>149</v>
      </c>
      <c r="C29" s="13" t="s">
        <v>152</v>
      </c>
      <c r="D29" s="13" t="s">
        <v>153</v>
      </c>
      <c r="E29" s="7">
        <f>LEN(D29)</f>
        <v>131</v>
      </c>
      <c r="F29" s="6" t="s">
        <v>18</v>
      </c>
      <c r="G29" s="9">
        <v>90740</v>
      </c>
      <c r="H29" s="14" t="s">
        <v>151</v>
      </c>
      <c r="I29" s="6" t="s">
        <v>31</v>
      </c>
      <c r="J29" s="7" t="s">
        <v>150</v>
      </c>
      <c r="K29" s="16">
        <v>45619</v>
      </c>
      <c r="L29" s="16">
        <v>45619</v>
      </c>
      <c r="M29" s="7" t="s">
        <v>16</v>
      </c>
      <c r="N29" s="7" t="s">
        <v>41</v>
      </c>
      <c r="O29" s="6" t="str">
        <f>I29</f>
        <v>Seal</v>
      </c>
      <c r="P29" s="6" t="s">
        <v>17</v>
      </c>
      <c r="Q29" s="6" t="str">
        <f>N29</f>
        <v>Race &amp; endurance</v>
      </c>
    </row>
    <row r="30" spans="1:17" s="10" customFormat="1" ht="142" customHeight="1">
      <c r="A30" s="7" t="s">
        <v>64</v>
      </c>
      <c r="B30" s="7" t="s">
        <v>64</v>
      </c>
      <c r="C30" s="13" t="s">
        <v>72</v>
      </c>
      <c r="D30" s="13" t="s">
        <v>68</v>
      </c>
      <c r="E30" s="7">
        <f>LEN(D30)</f>
        <v>153</v>
      </c>
      <c r="F30" s="6" t="s">
        <v>18</v>
      </c>
      <c r="G30" s="9" t="s">
        <v>66</v>
      </c>
      <c r="H30" s="8" t="s">
        <v>65</v>
      </c>
      <c r="I30" s="6" t="s">
        <v>67</v>
      </c>
      <c r="J30" s="7" t="s">
        <v>69</v>
      </c>
      <c r="K30" s="16">
        <v>45549</v>
      </c>
      <c r="L30" s="16">
        <v>45549</v>
      </c>
      <c r="M30" s="7" t="s">
        <v>16</v>
      </c>
      <c r="N30" s="7" t="s">
        <v>41</v>
      </c>
      <c r="O30" s="6" t="str">
        <f>I30</f>
        <v>Super</v>
      </c>
      <c r="P30" s="6" t="s">
        <v>17</v>
      </c>
      <c r="Q30" s="6" t="str">
        <f>N30</f>
        <v>Race &amp; endurance</v>
      </c>
    </row>
    <row r="31" spans="1:17" s="10" customFormat="1" ht="51">
      <c r="A31" s="7" t="s">
        <v>81</v>
      </c>
      <c r="B31" s="7" t="s">
        <v>81</v>
      </c>
      <c r="C31" s="13" t="s">
        <v>82</v>
      </c>
      <c r="D31" s="13" t="s">
        <v>83</v>
      </c>
      <c r="E31" s="7">
        <f>LEN(D31)</f>
        <v>143</v>
      </c>
      <c r="F31" s="6" t="s">
        <v>18</v>
      </c>
      <c r="G31" s="9">
        <v>92649</v>
      </c>
      <c r="H31" s="14" t="s">
        <v>84</v>
      </c>
      <c r="I31" s="6" t="s">
        <v>22</v>
      </c>
      <c r="J31" s="7" t="s">
        <v>85</v>
      </c>
      <c r="K31" s="16">
        <v>45557</v>
      </c>
      <c r="L31" s="16">
        <v>45557</v>
      </c>
      <c r="M31" s="7" t="s">
        <v>16</v>
      </c>
      <c r="N31" s="7" t="s">
        <v>41</v>
      </c>
      <c r="O31" s="6" t="str">
        <f>I31</f>
        <v>Tiki</v>
      </c>
      <c r="P31" s="6" t="s">
        <v>17</v>
      </c>
      <c r="Q31" s="6" t="str">
        <f>N31</f>
        <v>Race &amp; endurance</v>
      </c>
    </row>
    <row r="32" spans="1:17" s="10" customFormat="1" ht="73.5">
      <c r="A32" s="7" t="s">
        <v>169</v>
      </c>
      <c r="B32" s="7" t="s">
        <v>169</v>
      </c>
      <c r="C32" s="13" t="s">
        <v>171</v>
      </c>
      <c r="D32" s="13" t="s">
        <v>172</v>
      </c>
      <c r="E32" s="7">
        <f>LEN(D32)</f>
        <v>118</v>
      </c>
      <c r="F32" s="6" t="s">
        <v>18</v>
      </c>
      <c r="G32" s="9">
        <v>92782</v>
      </c>
      <c r="H32" s="14" t="s">
        <v>174</v>
      </c>
      <c r="I32" s="6" t="s">
        <v>170</v>
      </c>
      <c r="J32" s="7" t="s">
        <v>173</v>
      </c>
      <c r="K32" s="16">
        <v>45624</v>
      </c>
      <c r="L32" s="16">
        <v>45624</v>
      </c>
      <c r="M32" s="7" t="s">
        <v>16</v>
      </c>
      <c r="N32" s="7" t="s">
        <v>41</v>
      </c>
      <c r="O32" s="6" t="str">
        <f>I32</f>
        <v>Turkey trot OC</v>
      </c>
      <c r="P32" s="6" t="s">
        <v>17</v>
      </c>
      <c r="Q32" s="6" t="str">
        <f>N32</f>
        <v>Race &amp; endurance</v>
      </c>
    </row>
    <row r="33" spans="1:17" s="10" customFormat="1" ht="85.5" customHeight="1">
      <c r="A33" s="7" t="s">
        <v>175</v>
      </c>
      <c r="B33" s="7" t="s">
        <v>175</v>
      </c>
      <c r="C33" s="13" t="s">
        <v>177</v>
      </c>
      <c r="D33" s="13" t="s">
        <v>178</v>
      </c>
      <c r="E33" s="7">
        <f>LEN(D33)</f>
        <v>151</v>
      </c>
      <c r="F33" s="6" t="s">
        <v>18</v>
      </c>
      <c r="G33" s="9">
        <v>92694</v>
      </c>
      <c r="H33" s="14" t="s">
        <v>180</v>
      </c>
      <c r="I33" s="6" t="s">
        <v>176</v>
      </c>
      <c r="J33" s="7" t="s">
        <v>179</v>
      </c>
      <c r="K33" s="16">
        <v>45624</v>
      </c>
      <c r="L33" s="16">
        <v>45624</v>
      </c>
      <c r="M33" s="7" t="s">
        <v>16</v>
      </c>
      <c r="N33" s="7" t="s">
        <v>41</v>
      </c>
      <c r="O33" s="6" t="str">
        <f>I33</f>
        <v>Turkey trot on</v>
      </c>
      <c r="P33" s="6" t="s">
        <v>17</v>
      </c>
      <c r="Q33" s="6" t="str">
        <f>N33</f>
        <v>Race &amp; endurance</v>
      </c>
    </row>
    <row r="34" spans="1:17" s="10" customFormat="1" ht="84">
      <c r="A34" s="7" t="s">
        <v>181</v>
      </c>
      <c r="B34" s="7" t="s">
        <v>181</v>
      </c>
      <c r="C34" s="13" t="s">
        <v>183</v>
      </c>
      <c r="D34" s="13" t="s">
        <v>184</v>
      </c>
      <c r="E34" s="7">
        <f>LEN(D34)</f>
        <v>147</v>
      </c>
      <c r="F34" s="6" t="s">
        <v>18</v>
      </c>
      <c r="G34" s="9">
        <v>92646</v>
      </c>
      <c r="H34" s="14" t="s">
        <v>186</v>
      </c>
      <c r="I34" s="6" t="s">
        <v>182</v>
      </c>
      <c r="J34" s="7" t="s">
        <v>185</v>
      </c>
      <c r="K34" s="16">
        <v>45624</v>
      </c>
      <c r="L34" s="16">
        <v>45624</v>
      </c>
      <c r="M34" s="7" t="s">
        <v>16</v>
      </c>
      <c r="N34" s="7" t="s">
        <v>41</v>
      </c>
      <c r="O34" s="6" t="str">
        <f>I34</f>
        <v>Turkey wobble</v>
      </c>
      <c r="P34" s="6" t="s">
        <v>17</v>
      </c>
      <c r="Q34" s="6" t="str">
        <f>N34</f>
        <v>Race &amp; endurance</v>
      </c>
    </row>
    <row r="35" spans="1:17" s="10" customFormat="1" ht="61" customHeight="1">
      <c r="A35" s="7" t="s">
        <v>52</v>
      </c>
      <c r="B35" s="7" t="s">
        <v>52</v>
      </c>
      <c r="C35" s="13" t="s">
        <v>53</v>
      </c>
      <c r="D35" s="13" t="s">
        <v>54</v>
      </c>
      <c r="E35" s="7">
        <f>LEN(D35)</f>
        <v>153</v>
      </c>
      <c r="F35" s="6" t="s">
        <v>18</v>
      </c>
      <c r="G35" s="9">
        <v>92618</v>
      </c>
      <c r="H35" s="8" t="s">
        <v>57</v>
      </c>
      <c r="I35" s="6" t="s">
        <v>56</v>
      </c>
      <c r="J35" s="7" t="s">
        <v>55</v>
      </c>
      <c r="K35" s="16">
        <v>45529</v>
      </c>
      <c r="L35" s="16">
        <v>45529</v>
      </c>
      <c r="M35" s="7" t="s">
        <v>16</v>
      </c>
      <c r="N35" s="7" t="s">
        <v>41</v>
      </c>
      <c r="O35" s="6" t="str">
        <f>I35</f>
        <v>Wild</v>
      </c>
      <c r="P35" s="6" t="s">
        <v>17</v>
      </c>
      <c r="Q35" s="6" t="str">
        <f>N35</f>
        <v>Race &amp; endurance</v>
      </c>
    </row>
    <row r="36" spans="1:17">
      <c r="A36" s="11"/>
      <c r="B36" s="11"/>
      <c r="C36" s="11"/>
      <c r="D36" s="11"/>
      <c r="E36" s="11"/>
      <c r="F36" s="11"/>
      <c r="G36" s="11"/>
      <c r="H36" s="15"/>
      <c r="I36" s="11"/>
      <c r="J36" s="11"/>
      <c r="K36" s="12"/>
      <c r="L36" s="12"/>
      <c r="M36" s="11"/>
      <c r="N36" s="11"/>
      <c r="O36" s="11"/>
      <c r="P36" s="11"/>
      <c r="Q36" s="11"/>
    </row>
    <row r="37" spans="1:17">
      <c r="A37" s="11"/>
      <c r="B37" s="11"/>
      <c r="C37" s="11"/>
      <c r="D37" s="11"/>
      <c r="E37" s="11"/>
      <c r="F37" s="11"/>
      <c r="G37" s="11"/>
      <c r="H37" s="11"/>
      <c r="I37" s="11"/>
      <c r="J37" s="11"/>
      <c r="K37" s="12"/>
      <c r="L37" s="12"/>
      <c r="M37" s="11"/>
      <c r="N37" s="11"/>
      <c r="O37" s="11"/>
      <c r="P37" s="11"/>
      <c r="Q37" s="11"/>
    </row>
    <row r="38" spans="1:17">
      <c r="A38" s="11"/>
      <c r="B38" s="11"/>
      <c r="C38" s="11"/>
      <c r="D38" s="11"/>
      <c r="E38" s="11"/>
      <c r="F38" s="11"/>
      <c r="G38" s="11"/>
      <c r="H38" s="11"/>
      <c r="I38" s="11"/>
      <c r="J38" s="11"/>
      <c r="K38" s="12"/>
      <c r="L38" s="12"/>
      <c r="M38" s="11"/>
      <c r="N38" s="11"/>
      <c r="O38" s="11"/>
      <c r="P38" s="11"/>
      <c r="Q38" s="11"/>
    </row>
  </sheetData>
  <autoFilter ref="A1:Q1" xr:uid="{63DA3E44-3605-449C-AE11-8D4FB01A0BBE}">
    <sortState xmlns:xlrd2="http://schemas.microsoft.com/office/spreadsheetml/2017/richdata2" ref="A2:Q35">
      <sortCondition ref="B1"/>
    </sortState>
  </autoFilter>
  <phoneticPr fontId="6"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Race 2</vt:lpstr>
      <vt:lpstr>'Race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2024-08-07T23:12:28Z</dcterms:modified>
</cp:coreProperties>
</file>