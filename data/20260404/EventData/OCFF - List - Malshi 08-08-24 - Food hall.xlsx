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434" documentId="8_{CD4ED8A1-AFA4-4F2C-A99C-2B8C9D2FC331}" xr6:coauthVersionLast="47" xr6:coauthVersionMax="47" xr10:uidLastSave="{055CDECA-9C55-4686-98DE-6751EEEE2CE5}"/>
  <bookViews>
    <workbookView xWindow="-110" yWindow="-110" windowWidth="19420" windowHeight="11500" xr2:uid="{3F4AF157-4EA4-44F9-9369-4ED39BF1C451}"/>
  </bookViews>
  <sheets>
    <sheet name="Food halls" sheetId="2" r:id="rId1"/>
  </sheets>
  <definedNames>
    <definedName name="_xlnm._FilterDatabase" localSheetId="0" hidden="1">'Food halls'!$A$1:$Q$22</definedName>
    <definedName name="_xlnm.Print_Area" localSheetId="0">'Food halls'!$A$1:$B$1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2" l="1"/>
  <c r="E4" i="2"/>
  <c r="Q11" i="2"/>
  <c r="E11" i="2"/>
  <c r="O11" i="2"/>
  <c r="E22" i="2"/>
  <c r="Q22" i="2"/>
  <c r="O22" i="2"/>
  <c r="E17" i="2"/>
  <c r="Q17" i="2"/>
  <c r="O17" i="2"/>
  <c r="Q16" i="2"/>
  <c r="E16" i="2"/>
  <c r="O16" i="2"/>
  <c r="Q15" i="2"/>
  <c r="E15" i="2"/>
  <c r="O15" i="2"/>
  <c r="E12" i="2"/>
  <c r="Q12" i="2"/>
  <c r="O12" i="2"/>
  <c r="Q6" i="2"/>
  <c r="Q3" i="2"/>
  <c r="E3" i="2"/>
  <c r="O3" i="2"/>
  <c r="O6" i="2"/>
  <c r="E6" i="2"/>
  <c r="Q7" i="2"/>
  <c r="E7" i="2"/>
  <c r="O7" i="2"/>
  <c r="E2" i="2"/>
  <c r="E5" i="2"/>
  <c r="E18" i="2"/>
  <c r="E9" i="2"/>
  <c r="E20" i="2"/>
  <c r="E10" i="2"/>
  <c r="E21" i="2"/>
  <c r="E19" i="2"/>
  <c r="E13" i="2"/>
  <c r="E8" i="2"/>
  <c r="Q2" i="2"/>
  <c r="Q5" i="2"/>
  <c r="Q18" i="2"/>
  <c r="Q9" i="2"/>
  <c r="Q20" i="2"/>
  <c r="Q10" i="2"/>
  <c r="Q21" i="2"/>
  <c r="Q19" i="2"/>
  <c r="Q13" i="2"/>
  <c r="Q8" i="2"/>
  <c r="O2" i="2"/>
  <c r="O5" i="2"/>
  <c r="O18" i="2"/>
  <c r="O9" i="2"/>
  <c r="O20" i="2"/>
  <c r="O10" i="2"/>
  <c r="O21" i="2"/>
  <c r="O19" i="2"/>
  <c r="O13" i="2"/>
  <c r="O8" i="2"/>
  <c r="Q14" i="2"/>
  <c r="O14" i="2"/>
  <c r="E14" i="2"/>
</calcChain>
</file>

<file path=xl/sharedStrings.xml><?xml version="1.0" encoding="utf-8"?>
<sst xmlns="http://schemas.openxmlformats.org/spreadsheetml/2006/main" count="249" uniqueCount="149">
  <si>
    <t>Event</t>
  </si>
  <si>
    <t>Focus Keyphrase</t>
  </si>
  <si>
    <t>Zip code</t>
  </si>
  <si>
    <t>Event location</t>
  </si>
  <si>
    <t>Registration email/URL</t>
  </si>
  <si>
    <t>Start date</t>
  </si>
  <si>
    <t>End date</t>
  </si>
  <si>
    <t>Event category</t>
  </si>
  <si>
    <t>Event type</t>
  </si>
  <si>
    <t>Event thumbnail</t>
  </si>
  <si>
    <t>Banner name
(in folder, to upload)</t>
  </si>
  <si>
    <t>Title</t>
  </si>
  <si>
    <t>Top Box</t>
  </si>
  <si>
    <t>Meta Description 
(160 max words)</t>
  </si>
  <si>
    <t>Cell count</t>
  </si>
  <si>
    <t>Event category
(only 1)</t>
  </si>
  <si>
    <t>Anaheim packing</t>
  </si>
  <si>
    <t>Mercado</t>
  </si>
  <si>
    <t>4th st.</t>
  </si>
  <si>
    <t>Steelcraft</t>
  </si>
  <si>
    <t>Rodeo 39</t>
  </si>
  <si>
    <t>Lot 579</t>
  </si>
  <si>
    <t>Mess hall</t>
  </si>
  <si>
    <t>Mcfadden</t>
  </si>
  <si>
    <t>Trade</t>
  </si>
  <si>
    <t>QT</t>
  </si>
  <si>
    <t>Wholesome Choice Market - Food Hall</t>
  </si>
  <si>
    <t>Half of the market is devoted to prepared foods. There are counters serving freshly prepared Persian, Chinese, Indian, and Mexican food. This is no ordinary buffet, though. These people are chefs who truly put love into their food. The Persian food section is manned by Persians, doling out favorites like Baghali Polo (rice with dill and fava beans) and Joojeh Kabob (grilled skewered chicken with saffron rice) with pride.</t>
  </si>
  <si>
    <t xml:space="preserve">Half of the market is devoted to prepared foods. There are counters serving freshly prepared Persian, Chinese, Indian, and Mexican food. </t>
  </si>
  <si>
    <t>18040 Culver Dr., Irvine, CA</t>
  </si>
  <si>
    <t>www.wholesomechoice.com</t>
  </si>
  <si>
    <t>Family, date, solo, group</t>
  </si>
  <si>
    <t>https://www.anaheimpackingdistrict.com/</t>
  </si>
  <si>
    <t>Date, family, solo, group</t>
  </si>
  <si>
    <t>Food Hall</t>
  </si>
  <si>
    <t>Group</t>
  </si>
  <si>
    <t xml:space="preserve">440 S Anaheim Blvd, Anaheim, CA </t>
  </si>
  <si>
    <t>Anaheim</t>
  </si>
  <si>
    <t>Food</t>
  </si>
  <si>
    <t>The Anaheim Packing District is an upscale food court with local vendors &amp; bars in a renovated, historic 1919 citrus-packing house.</t>
  </si>
  <si>
    <t xml:space="preserve">Mercado Gonzalez is Orange County’s newest food hall with an actual grocery store inside! Here you can find almost every type of popular Mexican food, including ceviche, tortas, aguas frescas, churros, and tacos. </t>
  </si>
  <si>
    <t>Mercado Gonzalez is Orange County’s newest food hall with an actual grocery store inside! Here you can find almost every type of popular Mexican food.</t>
  </si>
  <si>
    <t>2300 Harbor Blvd, Costa Mesa, CA</t>
  </si>
  <si>
    <t>https://www.orangecountyinsiders.com/blog/mercado-gonzalez-northgate-market</t>
  </si>
  <si>
    <t>Costa Mesa - Mercado Gonzalez</t>
  </si>
  <si>
    <t xml:space="preserve">The 4th Street Food Market, an incubator for startup restaurants, is located in the heart of downtown Santa Ana. </t>
  </si>
  <si>
    <t>Santa Ana - 4th Street Food Market</t>
  </si>
  <si>
    <t xml:space="preserve">201 E 4th St, Santa Ana, CA </t>
  </si>
  <si>
    <t>https://www.orangecountyinsiders.com/blog/santa-ana/4th-street-market</t>
  </si>
  <si>
    <t xml:space="preserve">12900 S Euclid St, Garden Grove, CA </t>
  </si>
  <si>
    <t>Garden Grove - Steelcraft</t>
  </si>
  <si>
    <t xml:space="preserve">Steelcraft features structures made of shipping containers, which house food vendors like Barrio (Filipino/Korean fusion), The Penalty Box (burgers), and Dark Horse Coffee Roasters. </t>
  </si>
  <si>
    <t>https://www.orangecountyinsiders.com/blog/garden-grove/steelcraft</t>
  </si>
  <si>
    <t>12885 Beach Blvd, Stanton, CA</t>
  </si>
  <si>
    <t>Stanton</t>
  </si>
  <si>
    <t xml:space="preserve">Rodeo 39 Public Market is the one food hall in Orange County that features a majority of Asian food vendors. </t>
  </si>
  <si>
    <t>Stanton - Rodeo 39</t>
  </si>
  <si>
    <t>https://www.orangecountyinsiders.com/blog/stanton/rodeo-39-public-market</t>
  </si>
  <si>
    <t>Huntington</t>
  </si>
  <si>
    <t xml:space="preserve">21010 E Pacific Coast Hwy, Huntington Beach, CA </t>
  </si>
  <si>
    <t>https://www.gopacificcity.com/whats-here#/lot-579/</t>
  </si>
  <si>
    <t>Huntington - Lot 579</t>
  </si>
  <si>
    <t xml:space="preserve">Lot 579 Food Hall is a little gem is located in the Pacific City shopping center. </t>
  </si>
  <si>
    <t>https://messhalltustin.com/</t>
  </si>
  <si>
    <t>Tustin</t>
  </si>
  <si>
    <t>Mess Hall is a world-class, chef-driven food hall, offering a wide assortment of food &amp; beverage options. Immediately adjacent to the new Tustin Legacy Park, filled with walking trails &amp; open space, Mess Hall– named “Best Food Hall” by OC Register– also offers abundant parking, convenient access, &amp; a truly one-of-a kind dining experience.</t>
  </si>
  <si>
    <t>Mess Hall is a world-class, chef-driven food hall, offering a wide assortment of food &amp; beverage options. Immediately adjacent to the new Tustin Legacy Park.</t>
  </si>
  <si>
    <t>Tustin - Mess Hall</t>
  </si>
  <si>
    <t>1705 Flight Way Tustin, CA</t>
  </si>
  <si>
    <t>https://www.thetrademarketplace.com/#eat-drink-shop-wellness</t>
  </si>
  <si>
    <t xml:space="preserve">2222 Michelson Dr. Irvine, CA </t>
  </si>
  <si>
    <t>Irvine - Trade Market Place</t>
  </si>
  <si>
    <t xml:space="preserve">Conveniently located at the heart of Irvine's Business Center, TRADE features a hand-selected lineup restaurateurs who offer a diversified flavor palette of global cuisines, as well as a marketplace of visionary retailers and healthcare providers for you to enjoy. Whether you are looking for a new destination to satisfy your inner foodie or work in the area, our al fresco, pet-friendly environment—featuring free Wi-Fi— is the perfect escape to dine, shop, and prioritize wellness! </t>
  </si>
  <si>
    <t>TRADE features a hand-selected lineup restaurateurs who offer a diversified flavor palette of global cuisines.</t>
  </si>
  <si>
    <t>https://www.thecampsite.com/</t>
  </si>
  <si>
    <t>The CAMP is a green, eco-friendly retail campus dedicated to an active, healthy lifestyle mindful of environmentalism and supportive of the local community. The CAMP balances culture, sophistication, and functionality, blurring the boundaries between nature and the everyday bustle of life in Orange County, California.</t>
  </si>
  <si>
    <t xml:space="preserve">2937 Bristol St Costa Mesa, CA </t>
  </si>
  <si>
    <t>Costa Mesa - The Camp</t>
  </si>
  <si>
    <t xml:space="preserve">The CAMP is a green, eco-friendly retail campus dedicated to an active, healthy lifestyle mindful of environmentalism and supportive of the local community. </t>
  </si>
  <si>
    <t>The camp</t>
  </si>
  <si>
    <t xml:space="preserve">3313 Hyland Ave Costa Mesa, CA </t>
  </si>
  <si>
    <t>https://socoandtheocmix.com/</t>
  </si>
  <si>
    <t>SOCO Mix - Defining the ultimate design and culinary experience, with over 70 carefully curated, restaurants, showrooms and stores, South Coast Collection (SOCO) is Orange County’s central shopping destination and will inspire the decorator, designer, chef, trendsetter, and creative in you.</t>
  </si>
  <si>
    <t>SOCO Mix - Defining the ultimate design and culinary experience, with over 70 carefully curated, restaurants.</t>
  </si>
  <si>
    <t>Costa Mesa - SOCO Mix</t>
  </si>
  <si>
    <t>Costa mesa soco</t>
  </si>
  <si>
    <t xml:space="preserve">9772 Garden Grove Blvd Garden Grove, CA </t>
  </si>
  <si>
    <t>Garden grove QT</t>
  </si>
  <si>
    <t>Garden grove steel</t>
  </si>
  <si>
    <t>https://qtfoodcourt.com/</t>
  </si>
  <si>
    <t>Garden Grove - QT Golden Market</t>
  </si>
  <si>
    <r>
      <t>QT Golden Market Place and </t>
    </r>
    <r>
      <rPr>
        <sz val="7"/>
        <rFont val="Arial"/>
        <family val="2"/>
      </rPr>
      <t>Food Court has delicious food that is freshly served, offering quality dishes and customer service in the Garden Grove area. </t>
    </r>
  </si>
  <si>
    <t xml:space="preserve">515 N Main St Santa Ana, CA </t>
  </si>
  <si>
    <t>https://mcfaddenmarket.com/</t>
  </si>
  <si>
    <t>Santa Ana mc</t>
  </si>
  <si>
    <t>Santa Ana 4</t>
  </si>
  <si>
    <t>Santa Ana - Mcfadden Public Market</t>
  </si>
  <si>
    <t>McFadden Public Market is a social experience in a food hall located in Downtown Santa Ana. Play vintage arcade games with video game-themed drinks and at barcade Mission Control, have a taste of Hawaii at tiki bar Twisted Tiki and grab a bite to eat with our rotating food vendors. We also have ongoing events such as live DJs and pinball tournaments. Booking is available for private events.</t>
  </si>
  <si>
    <t xml:space="preserve">McFadden Public Market is a social experience in a food hall located in Downtown Santa Ana. </t>
  </si>
  <si>
    <t>https://www.thesourceoc.com/dining</t>
  </si>
  <si>
    <t>Buena</t>
  </si>
  <si>
    <t xml:space="preserve">6940 Beach Blvd Buena Park, CA </t>
  </si>
  <si>
    <t>Buena Park - The Source OC</t>
  </si>
  <si>
    <t>Southern California's entertainment and dining destination. Experience it all at The Source OC at Buena Park, California. Modern complex featuring an eclectic mix of shopping &amp; dining options, plus a cinema.</t>
  </si>
  <si>
    <t>The Source OC at Buena Park is a modern complex featuring an eclectic mix of shopping &amp; dining options, plus a cinema.</t>
  </si>
  <si>
    <t>Irvine trade</t>
  </si>
  <si>
    <t>Irvine - The Square</t>
  </si>
  <si>
    <t>Irvine the</t>
  </si>
  <si>
    <t>https://www.irvinecompanyretail.com/centers/irvine/the-square/?utm_source=yelp.com&amp;utm_medium=referral&amp;utm_campaign=the_square_yelp</t>
  </si>
  <si>
    <t>17901 - 17971 MacArthur Boulevard Irvine, CA</t>
  </si>
  <si>
    <t>The Square in Irvine is a relaxed, open-air shopping center featuring international quick-service eateries &amp; outdoor tables.</t>
  </si>
  <si>
    <t>https://thelongbeachexchange.com/</t>
  </si>
  <si>
    <t>4150 McGowen St Long Beach, CA</t>
  </si>
  <si>
    <t>Long Beach - Exchange</t>
  </si>
  <si>
    <t>The Long Beach Exchange - For exciting experiential retail, dining, wellness, and more.</t>
  </si>
  <si>
    <t xml:space="preserve">456 Elm Ave Long Beach, CA </t>
  </si>
  <si>
    <t>Long beach ex</t>
  </si>
  <si>
    <t>Long beach part</t>
  </si>
  <si>
    <t>https://www.partakecollective.com/foodhall/</t>
  </si>
  <si>
    <t>Long Beach - Partake Food Hall</t>
  </si>
  <si>
    <r>
      <t>Partake's Long Beach</t>
    </r>
    <r>
      <rPr>
        <sz val="7"/>
        <rFont val="Arial"/>
        <family val="2"/>
      </rPr>
      <t xml:space="preserve"> ghost kitchens are proud to be part of diverse communities fostering a new era of food entrepreneurs.</t>
    </r>
  </si>
  <si>
    <t>https://www.gokaleidoscope.com/union-market-2/</t>
  </si>
  <si>
    <t xml:space="preserve">Mission </t>
  </si>
  <si>
    <t>Mission Viejo - Union Market</t>
  </si>
  <si>
    <t>27741 Crown Valley Pkwy Mission Viejo, CA</t>
  </si>
  <si>
    <t>First-time visitors to the Union Market Mission Viejo can expect a unique experience. Whether you are here to dine, drink, shop, or just spend time with friends, you will find all kinds of fun ways to spend your afternoon at the Market.</t>
  </si>
  <si>
    <t>First-time visitors to the Union Market Mission Viejo can expect a unique experience, to dine, drink, shop, or just spend time with friends.</t>
  </si>
  <si>
    <t>https://www.asiangardenmall.com/AGM-VisitorsInformation.html</t>
  </si>
  <si>
    <t>Westminster</t>
  </si>
  <si>
    <t xml:space="preserve">9200 Bolsa Ave Ste 312 Westminster, CA </t>
  </si>
  <si>
    <t>Asian Garden Mall is the first and largest Vietnamese-American shopping mall  and food hall and is seen as a symbol of the community. </t>
  </si>
  <si>
    <t>Westminster - Asian Garden</t>
  </si>
  <si>
    <t>Irvine - Spectrum</t>
  </si>
  <si>
    <t>Irvine spec</t>
  </si>
  <si>
    <t xml:space="preserve">670 Spectrum Center Dr Irvine, CA </t>
  </si>
  <si>
    <t>https://www.irvinespectrumcenter.com/dining</t>
  </si>
  <si>
    <r>
      <t>The Irvine Spectrucm has from </t>
    </r>
    <r>
      <rPr>
        <sz val="7"/>
        <rFont val="Arial"/>
        <family val="2"/>
      </rPr>
      <t>full service and casual dining to snacks and sips, Irvine Spectrum Center's culinary offerings and restaurants.</t>
    </r>
  </si>
  <si>
    <t>Irvine - Wholesome Choice Market</t>
  </si>
  <si>
    <t>Irvine whole</t>
  </si>
  <si>
    <t>Collage Culminary Experience</t>
  </si>
  <si>
    <t>The Collageis a one-of-a-kind, unique, elevated dining collective at South Coast Plaza, next to Bloomingdale’s. A place to play, pair, and piece together the most perfect dining experience.</t>
  </si>
  <si>
    <t xml:space="preserve">The Collageis a one-of-a-kind, unique, elevated dining collective at South Coast Plaza, next to Bloomingdale’s. </t>
  </si>
  <si>
    <t xml:space="preserve">3333 Bristol St Costa Mesa, CA </t>
  </si>
  <si>
    <t>https://collageexperience.com/#excite</t>
  </si>
  <si>
    <t>Costa Mesa - Collage Culminary Experience</t>
  </si>
  <si>
    <t>Anaheim - Packing District</t>
  </si>
  <si>
    <t>Costa mesa the</t>
  </si>
  <si>
    <t>Costa mesa coll</t>
  </si>
  <si>
    <t>Costa mesa merc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</si>
</sst>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13"/>
      <color rgb="FF202124"/>
      <name val="Aptos Narrow"/>
      <family val="2"/>
      <scheme val="minor"/>
    </font>
    <font>
      <sz val="8"/>
      <color rgb="FF000000"/>
      <name val="Times New Roman"/>
      <family val="1"/>
    </font>
    <font>
      <sz val="8"/>
      <name val="Times New Roman"/>
      <family val="1"/>
    </font>
    <font>
      <sz val="8"/>
      <name val="Aptos Narrow"/>
      <family val="2"/>
      <scheme val="minor"/>
    </font>
    <font>
      <sz val="7"/>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5"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3" fillId="2" borderId="1" xfId="0" applyFont="1" applyFill="1" applyBorder="1" applyAlignment="1">
      <alignment horizontal="center" wrapText="1"/>
    </xf>
    <xf numFmtId="0" fontId="0" fillId="3" borderId="0" xfId="0" applyFill="1"/>
    <xf numFmtId="0" fontId="1" fillId="3" borderId="1" xfId="0" applyFont="1"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5" fillId="4" borderId="1" xfId="0" applyFont="1" applyFill="1" applyBorder="1" applyAlignment="1">
      <alignment vertical="center" wrapText="1"/>
    </xf>
    <xf numFmtId="0" fontId="2" fillId="4" borderId="1" xfId="0" applyFont="1" applyFill="1" applyBorder="1" applyAlignment="1">
      <alignment horizontal="left"/>
    </xf>
    <xf numFmtId="0" fontId="4" fillId="4" borderId="1" xfId="0" applyFont="1" applyFill="1" applyBorder="1" applyAlignment="1">
      <alignment wrapText="1"/>
    </xf>
    <xf numFmtId="14" fontId="2" fillId="4" borderId="1" xfId="0" applyNumberFormat="1" applyFont="1" applyFill="1" applyBorder="1"/>
    <xf numFmtId="0" fontId="0" fillId="4" borderId="0" xfId="0" applyFill="1"/>
    <xf numFmtId="0" fontId="0" fillId="0" borderId="1" xfId="0" applyBorder="1"/>
    <xf numFmtId="0" fontId="0" fillId="3" borderId="1" xfId="0" applyFill="1" applyBorder="1"/>
    <xf numFmtId="0" fontId="6"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50"/>
  <sheetViews>
    <sheetView tabSelected="1" zoomScale="80" zoomScaleNormal="80" workbookViewId="0">
      <pane ySplit="1" topLeftCell="A2" activePane="bottomLeft" state="frozen"/>
      <selection pane="bottomLeft" activeCell="C4" sqref="C4"/>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4.453125" style="4" customWidth="1"/>
    <col min="12" max="12" width="14.26953125" style="4"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11</v>
      </c>
      <c r="C1" s="1" t="s">
        <v>12</v>
      </c>
      <c r="D1" s="2" t="s">
        <v>13</v>
      </c>
      <c r="E1" s="3" t="s">
        <v>14</v>
      </c>
      <c r="F1" s="1" t="s">
        <v>1</v>
      </c>
      <c r="G1" s="1" t="s">
        <v>2</v>
      </c>
      <c r="H1" s="1" t="s">
        <v>3</v>
      </c>
      <c r="I1" s="2" t="s">
        <v>10</v>
      </c>
      <c r="J1" s="1" t="s">
        <v>4</v>
      </c>
      <c r="K1" s="5" t="s">
        <v>5</v>
      </c>
      <c r="L1" s="5" t="s">
        <v>6</v>
      </c>
      <c r="M1" s="1" t="s">
        <v>7</v>
      </c>
      <c r="N1" s="1" t="s">
        <v>8</v>
      </c>
      <c r="O1" s="1" t="s">
        <v>9</v>
      </c>
      <c r="P1" s="2" t="s">
        <v>15</v>
      </c>
      <c r="Q1" s="1" t="s">
        <v>8</v>
      </c>
    </row>
    <row r="2" spans="1:17" s="12" customFormat="1" ht="79.5" customHeight="1" x14ac:dyDescent="0.4">
      <c r="A2" s="7" t="s">
        <v>16</v>
      </c>
      <c r="B2" s="7" t="s">
        <v>145</v>
      </c>
      <c r="C2" s="15" t="s">
        <v>39</v>
      </c>
      <c r="D2" s="15" t="s">
        <v>39</v>
      </c>
      <c r="E2" s="7">
        <f t="shared" ref="E2:E22" si="0">LEN(D2)</f>
        <v>131</v>
      </c>
      <c r="F2" s="6" t="s">
        <v>38</v>
      </c>
      <c r="G2" s="9">
        <v>92805</v>
      </c>
      <c r="H2" s="10" t="s">
        <v>36</v>
      </c>
      <c r="I2" s="6" t="s">
        <v>37</v>
      </c>
      <c r="J2" s="7" t="s">
        <v>32</v>
      </c>
      <c r="K2" s="11">
        <v>45292</v>
      </c>
      <c r="L2" s="11">
        <v>410534</v>
      </c>
      <c r="M2" s="7" t="s">
        <v>33</v>
      </c>
      <c r="N2" s="7" t="s">
        <v>34</v>
      </c>
      <c r="O2" s="6" t="str">
        <f t="shared" ref="O2:O22" si="1">I2</f>
        <v>Anaheim</v>
      </c>
      <c r="P2" s="6" t="s">
        <v>35</v>
      </c>
      <c r="Q2" s="6" t="str">
        <f>N2</f>
        <v>Food Hall</v>
      </c>
    </row>
    <row r="3" spans="1:17" s="12" customFormat="1" ht="59.5" customHeight="1" x14ac:dyDescent="0.4">
      <c r="A3" s="7" t="s">
        <v>102</v>
      </c>
      <c r="B3" s="7" t="s">
        <v>102</v>
      </c>
      <c r="C3" s="15" t="s">
        <v>103</v>
      </c>
      <c r="D3" s="15" t="s">
        <v>104</v>
      </c>
      <c r="E3" s="7">
        <f t="shared" si="0"/>
        <v>118</v>
      </c>
      <c r="F3" s="6" t="s">
        <v>38</v>
      </c>
      <c r="G3" s="9">
        <v>90621</v>
      </c>
      <c r="H3" s="10" t="s">
        <v>101</v>
      </c>
      <c r="I3" s="6" t="s">
        <v>100</v>
      </c>
      <c r="J3" s="7" t="s">
        <v>99</v>
      </c>
      <c r="K3" s="11">
        <v>45292</v>
      </c>
      <c r="L3" s="11">
        <v>410534</v>
      </c>
      <c r="M3" s="7" t="s">
        <v>33</v>
      </c>
      <c r="N3" s="7" t="s">
        <v>34</v>
      </c>
      <c r="O3" s="6" t="str">
        <f t="shared" si="1"/>
        <v>Buena</v>
      </c>
      <c r="P3" s="6" t="s">
        <v>35</v>
      </c>
      <c r="Q3" s="6" t="str">
        <f>N3</f>
        <v>Food Hall</v>
      </c>
    </row>
    <row r="4" spans="1:17" s="12" customFormat="1" ht="72" customHeight="1" x14ac:dyDescent="0.4">
      <c r="A4" s="7" t="s">
        <v>139</v>
      </c>
      <c r="B4" s="7" t="s">
        <v>144</v>
      </c>
      <c r="C4" s="8" t="s">
        <v>140</v>
      </c>
      <c r="D4" s="8" t="s">
        <v>141</v>
      </c>
      <c r="E4" s="7">
        <f t="shared" si="0"/>
        <v>112</v>
      </c>
      <c r="F4" s="6" t="s">
        <v>38</v>
      </c>
      <c r="G4" s="9">
        <v>92626</v>
      </c>
      <c r="H4" s="10" t="s">
        <v>142</v>
      </c>
      <c r="I4" s="6" t="s">
        <v>147</v>
      </c>
      <c r="J4" s="7" t="s">
        <v>143</v>
      </c>
      <c r="K4" s="11">
        <v>45292</v>
      </c>
      <c r="L4" s="11">
        <v>410534</v>
      </c>
      <c r="M4" s="7" t="s">
        <v>33</v>
      </c>
      <c r="N4" s="7" t="s">
        <v>34</v>
      </c>
      <c r="O4" s="6" t="str">
        <f t="shared" si="1"/>
        <v>Costa mesa coll</v>
      </c>
      <c r="P4" s="6" t="s">
        <v>35</v>
      </c>
      <c r="Q4" s="6" t="s">
        <v>34</v>
      </c>
    </row>
    <row r="5" spans="1:17" s="12" customFormat="1" ht="48.5" customHeight="1" x14ac:dyDescent="0.4">
      <c r="A5" s="7" t="s">
        <v>17</v>
      </c>
      <c r="B5" s="7" t="s">
        <v>44</v>
      </c>
      <c r="C5" s="15" t="s">
        <v>40</v>
      </c>
      <c r="D5" s="15" t="s">
        <v>41</v>
      </c>
      <c r="E5" s="7">
        <f t="shared" si="0"/>
        <v>150</v>
      </c>
      <c r="F5" s="6" t="s">
        <v>38</v>
      </c>
      <c r="G5" s="9">
        <v>92626</v>
      </c>
      <c r="H5" s="10" t="s">
        <v>42</v>
      </c>
      <c r="I5" s="6" t="s">
        <v>148</v>
      </c>
      <c r="J5" s="7" t="s">
        <v>43</v>
      </c>
      <c r="K5" s="11">
        <v>45292</v>
      </c>
      <c r="L5" s="11">
        <v>410534</v>
      </c>
      <c r="M5" s="7" t="s">
        <v>33</v>
      </c>
      <c r="N5" s="7" t="s">
        <v>34</v>
      </c>
      <c r="O5" s="6" t="str">
        <f t="shared" si="1"/>
        <v>Costa mesa merc</v>
      </c>
      <c r="P5" s="6" t="s">
        <v>35</v>
      </c>
      <c r="Q5" s="6" t="str">
        <f t="shared" ref="Q5:Q22" si="2">N5</f>
        <v>Food Hall</v>
      </c>
    </row>
    <row r="6" spans="1:17" s="12" customFormat="1" ht="59.5" customHeight="1" x14ac:dyDescent="0.4">
      <c r="A6" s="7" t="s">
        <v>84</v>
      </c>
      <c r="B6" s="7" t="s">
        <v>84</v>
      </c>
      <c r="C6" s="15" t="s">
        <v>82</v>
      </c>
      <c r="D6" s="15" t="s">
        <v>83</v>
      </c>
      <c r="E6" s="7">
        <f t="shared" si="0"/>
        <v>109</v>
      </c>
      <c r="F6" s="6" t="s">
        <v>38</v>
      </c>
      <c r="G6" s="9">
        <v>92626</v>
      </c>
      <c r="H6" s="10" t="s">
        <v>80</v>
      </c>
      <c r="I6" s="6" t="s">
        <v>85</v>
      </c>
      <c r="J6" s="7" t="s">
        <v>81</v>
      </c>
      <c r="K6" s="11">
        <v>45292</v>
      </c>
      <c r="L6" s="11">
        <v>410534</v>
      </c>
      <c r="M6" s="7" t="s">
        <v>33</v>
      </c>
      <c r="N6" s="7" t="s">
        <v>34</v>
      </c>
      <c r="O6" s="6" t="str">
        <f t="shared" si="1"/>
        <v>Costa mesa soco</v>
      </c>
      <c r="P6" s="6" t="s">
        <v>35</v>
      </c>
      <c r="Q6" s="6" t="str">
        <f t="shared" si="2"/>
        <v>Food Hall</v>
      </c>
    </row>
    <row r="7" spans="1:17" s="12" customFormat="1" ht="48" customHeight="1" x14ac:dyDescent="0.4">
      <c r="A7" s="7" t="s">
        <v>79</v>
      </c>
      <c r="B7" s="7" t="s">
        <v>77</v>
      </c>
      <c r="C7" s="15" t="s">
        <v>75</v>
      </c>
      <c r="D7" s="15" t="s">
        <v>78</v>
      </c>
      <c r="E7" s="7">
        <f t="shared" si="0"/>
        <v>157</v>
      </c>
      <c r="F7" s="6" t="s">
        <v>38</v>
      </c>
      <c r="G7" s="9">
        <v>92626</v>
      </c>
      <c r="H7" s="10" t="s">
        <v>76</v>
      </c>
      <c r="I7" s="6" t="s">
        <v>146</v>
      </c>
      <c r="J7" s="7" t="s">
        <v>74</v>
      </c>
      <c r="K7" s="11">
        <v>45292</v>
      </c>
      <c r="L7" s="11">
        <v>410534</v>
      </c>
      <c r="M7" s="7" t="s">
        <v>33</v>
      </c>
      <c r="N7" s="7" t="s">
        <v>34</v>
      </c>
      <c r="O7" s="6" t="str">
        <f t="shared" si="1"/>
        <v>Costa mesa the</v>
      </c>
      <c r="P7" s="6" t="s">
        <v>35</v>
      </c>
      <c r="Q7" s="6" t="str">
        <f t="shared" si="2"/>
        <v>Food Hall</v>
      </c>
    </row>
    <row r="8" spans="1:17" s="12" customFormat="1" ht="42" customHeight="1" x14ac:dyDescent="0.4">
      <c r="A8" s="7" t="s">
        <v>25</v>
      </c>
      <c r="B8" s="7" t="s">
        <v>90</v>
      </c>
      <c r="C8" s="15" t="s">
        <v>91</v>
      </c>
      <c r="D8" s="15" t="s">
        <v>91</v>
      </c>
      <c r="E8" s="7">
        <f t="shared" si="0"/>
        <v>152</v>
      </c>
      <c r="F8" s="6" t="s">
        <v>38</v>
      </c>
      <c r="G8" s="9">
        <v>92844</v>
      </c>
      <c r="H8" s="10" t="s">
        <v>86</v>
      </c>
      <c r="I8" s="6" t="s">
        <v>87</v>
      </c>
      <c r="J8" s="7" t="s">
        <v>89</v>
      </c>
      <c r="K8" s="11">
        <v>45292</v>
      </c>
      <c r="L8" s="11">
        <v>410534</v>
      </c>
      <c r="M8" s="7" t="s">
        <v>33</v>
      </c>
      <c r="N8" s="7" t="s">
        <v>34</v>
      </c>
      <c r="O8" s="6" t="str">
        <f t="shared" si="1"/>
        <v>Garden grove QT</v>
      </c>
      <c r="P8" s="6" t="s">
        <v>35</v>
      </c>
      <c r="Q8" s="6" t="str">
        <f t="shared" si="2"/>
        <v>Food Hall</v>
      </c>
    </row>
    <row r="9" spans="1:17" s="12" customFormat="1" ht="74" customHeight="1" x14ac:dyDescent="0.4">
      <c r="A9" s="7" t="s">
        <v>19</v>
      </c>
      <c r="B9" s="7" t="s">
        <v>50</v>
      </c>
      <c r="C9" s="15" t="s">
        <v>51</v>
      </c>
      <c r="D9" s="15" t="s">
        <v>51</v>
      </c>
      <c r="E9" s="7">
        <f t="shared" si="0"/>
        <v>182</v>
      </c>
      <c r="F9" s="6" t="s">
        <v>38</v>
      </c>
      <c r="G9" s="9">
        <v>92840</v>
      </c>
      <c r="H9" s="10" t="s">
        <v>49</v>
      </c>
      <c r="I9" s="6" t="s">
        <v>88</v>
      </c>
      <c r="J9" s="7" t="s">
        <v>52</v>
      </c>
      <c r="K9" s="11">
        <v>45292</v>
      </c>
      <c r="L9" s="11">
        <v>410534</v>
      </c>
      <c r="M9" s="7" t="s">
        <v>33</v>
      </c>
      <c r="N9" s="7" t="s">
        <v>34</v>
      </c>
      <c r="O9" s="6" t="str">
        <f t="shared" si="1"/>
        <v>Garden grove steel</v>
      </c>
      <c r="P9" s="6" t="s">
        <v>35</v>
      </c>
      <c r="Q9" s="6" t="str">
        <f t="shared" si="2"/>
        <v>Food Hall</v>
      </c>
    </row>
    <row r="10" spans="1:17" s="12" customFormat="1" ht="87" customHeight="1" x14ac:dyDescent="0.4">
      <c r="A10" s="7" t="s">
        <v>21</v>
      </c>
      <c r="B10" s="7" t="s">
        <v>61</v>
      </c>
      <c r="C10" s="15" t="s">
        <v>62</v>
      </c>
      <c r="D10" s="15" t="s">
        <v>62</v>
      </c>
      <c r="E10" s="7">
        <f t="shared" si="0"/>
        <v>82</v>
      </c>
      <c r="F10" s="6" t="s">
        <v>38</v>
      </c>
      <c r="G10" s="9">
        <v>92648</v>
      </c>
      <c r="H10" s="10" t="s">
        <v>59</v>
      </c>
      <c r="I10" s="6" t="s">
        <v>58</v>
      </c>
      <c r="J10" s="7" t="s">
        <v>60</v>
      </c>
      <c r="K10" s="11">
        <v>45292</v>
      </c>
      <c r="L10" s="11">
        <v>410534</v>
      </c>
      <c r="M10" s="7" t="s">
        <v>33</v>
      </c>
      <c r="N10" s="7" t="s">
        <v>34</v>
      </c>
      <c r="O10" s="6" t="str">
        <f t="shared" si="1"/>
        <v>Huntington</v>
      </c>
      <c r="P10" s="6" t="s">
        <v>35</v>
      </c>
      <c r="Q10" s="6" t="str">
        <f t="shared" si="2"/>
        <v>Food Hall</v>
      </c>
    </row>
    <row r="11" spans="1:17" s="12" customFormat="1" ht="117.5" customHeight="1" x14ac:dyDescent="0.4">
      <c r="A11" s="7" t="s">
        <v>132</v>
      </c>
      <c r="B11" s="7" t="s">
        <v>132</v>
      </c>
      <c r="C11" s="15" t="s">
        <v>136</v>
      </c>
      <c r="D11" s="15" t="s">
        <v>136</v>
      </c>
      <c r="E11" s="7">
        <f t="shared" si="0"/>
        <v>141</v>
      </c>
      <c r="F11" s="6" t="s">
        <v>38</v>
      </c>
      <c r="G11" s="9">
        <v>92618</v>
      </c>
      <c r="H11" s="10" t="s">
        <v>134</v>
      </c>
      <c r="I11" s="6" t="s">
        <v>133</v>
      </c>
      <c r="J11" s="7" t="s">
        <v>135</v>
      </c>
      <c r="K11" s="11">
        <v>45292</v>
      </c>
      <c r="L11" s="11">
        <v>410534</v>
      </c>
      <c r="M11" s="7" t="s">
        <v>33</v>
      </c>
      <c r="N11" s="7" t="s">
        <v>34</v>
      </c>
      <c r="O11" s="6" t="str">
        <f t="shared" si="1"/>
        <v>Irvine spec</v>
      </c>
      <c r="P11" s="6" t="s">
        <v>35</v>
      </c>
      <c r="Q11" s="6" t="str">
        <f t="shared" si="2"/>
        <v>Food Hall</v>
      </c>
    </row>
    <row r="12" spans="1:17" s="12" customFormat="1" ht="117.5" customHeight="1" x14ac:dyDescent="0.4">
      <c r="A12" s="7" t="s">
        <v>106</v>
      </c>
      <c r="B12" s="7" t="s">
        <v>106</v>
      </c>
      <c r="C12" s="15" t="s">
        <v>110</v>
      </c>
      <c r="D12" s="15" t="s">
        <v>110</v>
      </c>
      <c r="E12" s="7">
        <f t="shared" si="0"/>
        <v>124</v>
      </c>
      <c r="F12" s="6" t="s">
        <v>38</v>
      </c>
      <c r="G12" s="9">
        <v>92614</v>
      </c>
      <c r="H12" s="10" t="s">
        <v>109</v>
      </c>
      <c r="I12" s="6" t="s">
        <v>107</v>
      </c>
      <c r="J12" s="7" t="s">
        <v>108</v>
      </c>
      <c r="K12" s="11">
        <v>45292</v>
      </c>
      <c r="L12" s="11">
        <v>410534</v>
      </c>
      <c r="M12" s="7" t="s">
        <v>33</v>
      </c>
      <c r="N12" s="7" t="s">
        <v>34</v>
      </c>
      <c r="O12" s="6" t="str">
        <f t="shared" si="1"/>
        <v>Irvine the</v>
      </c>
      <c r="P12" s="6" t="s">
        <v>35</v>
      </c>
      <c r="Q12" s="6" t="str">
        <f t="shared" si="2"/>
        <v>Food Hall</v>
      </c>
    </row>
    <row r="13" spans="1:17" s="12" customFormat="1" ht="117.5" customHeight="1" x14ac:dyDescent="0.4">
      <c r="A13" s="7" t="s">
        <v>24</v>
      </c>
      <c r="B13" s="7" t="s">
        <v>71</v>
      </c>
      <c r="C13" s="15" t="s">
        <v>72</v>
      </c>
      <c r="D13" s="15" t="s">
        <v>73</v>
      </c>
      <c r="E13" s="7">
        <f t="shared" si="0"/>
        <v>110</v>
      </c>
      <c r="F13" s="6" t="s">
        <v>38</v>
      </c>
      <c r="G13" s="9">
        <v>92612</v>
      </c>
      <c r="H13" s="10" t="s">
        <v>70</v>
      </c>
      <c r="I13" s="6" t="s">
        <v>105</v>
      </c>
      <c r="J13" s="7" t="s">
        <v>69</v>
      </c>
      <c r="K13" s="11">
        <v>45292</v>
      </c>
      <c r="L13" s="11">
        <v>410534</v>
      </c>
      <c r="M13" s="7" t="s">
        <v>33</v>
      </c>
      <c r="N13" s="7" t="s">
        <v>34</v>
      </c>
      <c r="O13" s="6" t="str">
        <f t="shared" si="1"/>
        <v>Irvine trade</v>
      </c>
      <c r="P13" s="6" t="s">
        <v>35</v>
      </c>
      <c r="Q13" s="6" t="str">
        <f t="shared" si="2"/>
        <v>Food Hall</v>
      </c>
    </row>
    <row r="14" spans="1:17" s="12" customFormat="1" ht="117.5" customHeight="1" x14ac:dyDescent="0.4">
      <c r="A14" s="7" t="s">
        <v>26</v>
      </c>
      <c r="B14" s="7" t="s">
        <v>137</v>
      </c>
      <c r="C14" s="8" t="s">
        <v>27</v>
      </c>
      <c r="D14" s="8" t="s">
        <v>28</v>
      </c>
      <c r="E14" s="7">
        <f t="shared" si="0"/>
        <v>137</v>
      </c>
      <c r="F14" s="6" t="s">
        <v>38</v>
      </c>
      <c r="G14" s="9">
        <v>92612</v>
      </c>
      <c r="H14" s="10" t="s">
        <v>29</v>
      </c>
      <c r="I14" s="6" t="s">
        <v>138</v>
      </c>
      <c r="J14" s="7" t="s">
        <v>30</v>
      </c>
      <c r="K14" s="11">
        <v>45292</v>
      </c>
      <c r="L14" s="11">
        <v>410534</v>
      </c>
      <c r="M14" s="7" t="s">
        <v>31</v>
      </c>
      <c r="N14" s="7" t="s">
        <v>34</v>
      </c>
      <c r="O14" s="6" t="str">
        <f t="shared" si="1"/>
        <v>Irvine whole</v>
      </c>
      <c r="P14" s="6" t="s">
        <v>35</v>
      </c>
      <c r="Q14" s="6" t="str">
        <f t="shared" si="2"/>
        <v>Food Hall</v>
      </c>
    </row>
    <row r="15" spans="1:17" s="12" customFormat="1" ht="117.5" customHeight="1" x14ac:dyDescent="0.4">
      <c r="A15" s="7" t="s">
        <v>113</v>
      </c>
      <c r="B15" s="7" t="s">
        <v>113</v>
      </c>
      <c r="C15" s="15" t="s">
        <v>114</v>
      </c>
      <c r="D15" s="15" t="s">
        <v>114</v>
      </c>
      <c r="E15" s="7">
        <f t="shared" si="0"/>
        <v>87</v>
      </c>
      <c r="F15" s="6" t="s">
        <v>38</v>
      </c>
      <c r="G15" s="9">
        <v>90808</v>
      </c>
      <c r="H15" s="10" t="s">
        <v>112</v>
      </c>
      <c r="I15" s="6" t="s">
        <v>116</v>
      </c>
      <c r="J15" s="7" t="s">
        <v>111</v>
      </c>
      <c r="K15" s="11">
        <v>45292</v>
      </c>
      <c r="L15" s="11">
        <v>410534</v>
      </c>
      <c r="M15" s="7" t="s">
        <v>33</v>
      </c>
      <c r="N15" s="7" t="s">
        <v>34</v>
      </c>
      <c r="O15" s="6" t="str">
        <f t="shared" si="1"/>
        <v>Long beach ex</v>
      </c>
      <c r="P15" s="6" t="s">
        <v>35</v>
      </c>
      <c r="Q15" s="6" t="str">
        <f t="shared" si="2"/>
        <v>Food Hall</v>
      </c>
    </row>
    <row r="16" spans="1:17" s="12" customFormat="1" ht="117.5" customHeight="1" x14ac:dyDescent="0.4">
      <c r="A16" s="7" t="s">
        <v>119</v>
      </c>
      <c r="B16" s="7" t="s">
        <v>119</v>
      </c>
      <c r="C16" s="15" t="s">
        <v>120</v>
      </c>
      <c r="D16" s="15" t="s">
        <v>120</v>
      </c>
      <c r="E16" s="7">
        <f t="shared" si="0"/>
        <v>122</v>
      </c>
      <c r="F16" s="6" t="s">
        <v>38</v>
      </c>
      <c r="G16" s="9">
        <v>90802</v>
      </c>
      <c r="H16" s="10" t="s">
        <v>115</v>
      </c>
      <c r="I16" s="6" t="s">
        <v>117</v>
      </c>
      <c r="J16" s="7" t="s">
        <v>118</v>
      </c>
      <c r="K16" s="11">
        <v>45292</v>
      </c>
      <c r="L16" s="11">
        <v>410534</v>
      </c>
      <c r="M16" s="7" t="s">
        <v>33</v>
      </c>
      <c r="N16" s="7" t="s">
        <v>34</v>
      </c>
      <c r="O16" s="6" t="str">
        <f t="shared" si="1"/>
        <v>Long beach part</v>
      </c>
      <c r="P16" s="6" t="s">
        <v>35</v>
      </c>
      <c r="Q16" s="6" t="str">
        <f t="shared" si="2"/>
        <v>Food Hall</v>
      </c>
    </row>
    <row r="17" spans="1:17" s="12" customFormat="1" ht="117.5" customHeight="1" x14ac:dyDescent="0.4">
      <c r="A17" s="7" t="s">
        <v>123</v>
      </c>
      <c r="B17" s="7" t="s">
        <v>123</v>
      </c>
      <c r="C17" s="15" t="s">
        <v>125</v>
      </c>
      <c r="D17" s="15" t="s">
        <v>126</v>
      </c>
      <c r="E17" s="7">
        <f t="shared" si="0"/>
        <v>140</v>
      </c>
      <c r="F17" s="6" t="s">
        <v>38</v>
      </c>
      <c r="G17" s="9">
        <v>92691</v>
      </c>
      <c r="H17" s="10" t="s">
        <v>124</v>
      </c>
      <c r="I17" s="6" t="s">
        <v>122</v>
      </c>
      <c r="J17" s="7" t="s">
        <v>121</v>
      </c>
      <c r="K17" s="11">
        <v>45292</v>
      </c>
      <c r="L17" s="11">
        <v>410534</v>
      </c>
      <c r="M17" s="7" t="s">
        <v>33</v>
      </c>
      <c r="N17" s="7" t="s">
        <v>34</v>
      </c>
      <c r="O17" s="6" t="str">
        <f t="shared" si="1"/>
        <v xml:space="preserve">Mission </v>
      </c>
      <c r="P17" s="6" t="s">
        <v>35</v>
      </c>
      <c r="Q17" s="6" t="str">
        <f t="shared" si="2"/>
        <v>Food Hall</v>
      </c>
    </row>
    <row r="18" spans="1:17" s="12" customFormat="1" ht="117.5" customHeight="1" x14ac:dyDescent="0.4">
      <c r="A18" s="7" t="s">
        <v>18</v>
      </c>
      <c r="B18" s="7" t="s">
        <v>46</v>
      </c>
      <c r="C18" s="15" t="s">
        <v>45</v>
      </c>
      <c r="D18" s="15" t="s">
        <v>45</v>
      </c>
      <c r="E18" s="7">
        <f t="shared" si="0"/>
        <v>113</v>
      </c>
      <c r="F18" s="6" t="s">
        <v>38</v>
      </c>
      <c r="G18" s="9">
        <v>92701</v>
      </c>
      <c r="H18" s="10" t="s">
        <v>47</v>
      </c>
      <c r="I18" s="6" t="s">
        <v>95</v>
      </c>
      <c r="J18" s="7" t="s">
        <v>48</v>
      </c>
      <c r="K18" s="11">
        <v>45292</v>
      </c>
      <c r="L18" s="11">
        <v>410534</v>
      </c>
      <c r="M18" s="7" t="s">
        <v>33</v>
      </c>
      <c r="N18" s="7" t="s">
        <v>34</v>
      </c>
      <c r="O18" s="6" t="str">
        <f t="shared" si="1"/>
        <v>Santa Ana 4</v>
      </c>
      <c r="P18" s="6" t="s">
        <v>35</v>
      </c>
      <c r="Q18" s="6" t="str">
        <f t="shared" si="2"/>
        <v>Food Hall</v>
      </c>
    </row>
    <row r="19" spans="1:17" s="12" customFormat="1" ht="117.5" customHeight="1" x14ac:dyDescent="0.4">
      <c r="A19" s="7" t="s">
        <v>23</v>
      </c>
      <c r="B19" s="7" t="s">
        <v>96</v>
      </c>
      <c r="C19" s="15" t="s">
        <v>97</v>
      </c>
      <c r="D19" s="15" t="s">
        <v>98</v>
      </c>
      <c r="E19" s="7">
        <f t="shared" si="0"/>
        <v>92</v>
      </c>
      <c r="F19" s="6" t="s">
        <v>38</v>
      </c>
      <c r="G19" s="9">
        <v>92701</v>
      </c>
      <c r="H19" s="10" t="s">
        <v>92</v>
      </c>
      <c r="I19" s="6" t="s">
        <v>94</v>
      </c>
      <c r="J19" s="7" t="s">
        <v>93</v>
      </c>
      <c r="K19" s="11">
        <v>45292</v>
      </c>
      <c r="L19" s="11">
        <v>410534</v>
      </c>
      <c r="M19" s="7" t="s">
        <v>33</v>
      </c>
      <c r="N19" s="7" t="s">
        <v>34</v>
      </c>
      <c r="O19" s="6" t="str">
        <f t="shared" si="1"/>
        <v>Santa Ana mc</v>
      </c>
      <c r="P19" s="6" t="s">
        <v>35</v>
      </c>
      <c r="Q19" s="6" t="str">
        <f t="shared" si="2"/>
        <v>Food Hall</v>
      </c>
    </row>
    <row r="20" spans="1:17" s="12" customFormat="1" ht="117.5" customHeight="1" x14ac:dyDescent="0.4">
      <c r="A20" s="7" t="s">
        <v>20</v>
      </c>
      <c r="B20" s="7" t="s">
        <v>56</v>
      </c>
      <c r="C20" s="15" t="s">
        <v>55</v>
      </c>
      <c r="D20" s="15" t="s">
        <v>55</v>
      </c>
      <c r="E20" s="7">
        <f t="shared" si="0"/>
        <v>109</v>
      </c>
      <c r="F20" s="6" t="s">
        <v>38</v>
      </c>
      <c r="G20" s="9">
        <v>90680</v>
      </c>
      <c r="H20" s="10" t="s">
        <v>53</v>
      </c>
      <c r="I20" s="6" t="s">
        <v>54</v>
      </c>
      <c r="J20" s="7" t="s">
        <v>57</v>
      </c>
      <c r="K20" s="11">
        <v>45292</v>
      </c>
      <c r="L20" s="11">
        <v>410534</v>
      </c>
      <c r="M20" s="7" t="s">
        <v>33</v>
      </c>
      <c r="N20" s="7" t="s">
        <v>34</v>
      </c>
      <c r="O20" s="6" t="str">
        <f t="shared" si="1"/>
        <v>Stanton</v>
      </c>
      <c r="P20" s="6" t="s">
        <v>35</v>
      </c>
      <c r="Q20" s="6" t="str">
        <f t="shared" si="2"/>
        <v>Food Hall</v>
      </c>
    </row>
    <row r="21" spans="1:17" s="12" customFormat="1" ht="50.5" customHeight="1" x14ac:dyDescent="0.4">
      <c r="A21" s="7" t="s">
        <v>22</v>
      </c>
      <c r="B21" s="7" t="s">
        <v>67</v>
      </c>
      <c r="C21" s="15" t="s">
        <v>65</v>
      </c>
      <c r="D21" s="15" t="s">
        <v>66</v>
      </c>
      <c r="E21" s="7">
        <f t="shared" si="0"/>
        <v>157</v>
      </c>
      <c r="F21" s="6" t="s">
        <v>38</v>
      </c>
      <c r="G21" s="9">
        <v>92782</v>
      </c>
      <c r="H21" s="10" t="s">
        <v>68</v>
      </c>
      <c r="I21" s="6" t="s">
        <v>64</v>
      </c>
      <c r="J21" s="7" t="s">
        <v>63</v>
      </c>
      <c r="K21" s="11">
        <v>45292</v>
      </c>
      <c r="L21" s="11">
        <v>410534</v>
      </c>
      <c r="M21" s="7" t="s">
        <v>33</v>
      </c>
      <c r="N21" s="7" t="s">
        <v>34</v>
      </c>
      <c r="O21" s="6" t="str">
        <f t="shared" si="1"/>
        <v>Tustin</v>
      </c>
      <c r="P21" s="6" t="s">
        <v>35</v>
      </c>
      <c r="Q21" s="6" t="str">
        <f t="shared" si="2"/>
        <v>Food Hall</v>
      </c>
    </row>
    <row r="22" spans="1:17" s="12" customFormat="1" ht="94.5" customHeight="1" x14ac:dyDescent="0.4">
      <c r="A22" s="7" t="s">
        <v>131</v>
      </c>
      <c r="B22" s="7" t="s">
        <v>131</v>
      </c>
      <c r="C22" s="15" t="s">
        <v>130</v>
      </c>
      <c r="D22" s="15" t="s">
        <v>130</v>
      </c>
      <c r="E22" s="7">
        <f t="shared" si="0"/>
        <v>134</v>
      </c>
      <c r="F22" s="6" t="s">
        <v>38</v>
      </c>
      <c r="G22" s="9">
        <v>92683</v>
      </c>
      <c r="H22" s="10" t="s">
        <v>129</v>
      </c>
      <c r="I22" s="6" t="s">
        <v>128</v>
      </c>
      <c r="J22" s="7" t="s">
        <v>127</v>
      </c>
      <c r="K22" s="11">
        <v>45292</v>
      </c>
      <c r="L22" s="11">
        <v>410534</v>
      </c>
      <c r="M22" s="7" t="s">
        <v>33</v>
      </c>
      <c r="N22" s="7" t="s">
        <v>34</v>
      </c>
      <c r="O22" s="6" t="str">
        <f t="shared" si="1"/>
        <v>Westminster</v>
      </c>
      <c r="P22" s="6" t="s">
        <v>35</v>
      </c>
      <c r="Q22" s="6" t="str">
        <f t="shared" si="2"/>
        <v>Food Hall</v>
      </c>
    </row>
    <row r="23" spans="1:17" ht="17" x14ac:dyDescent="0.4">
      <c r="A23" s="7"/>
      <c r="B23" s="13"/>
      <c r="C23" s="13"/>
      <c r="D23" s="13"/>
      <c r="E23" s="13"/>
      <c r="F23" s="13"/>
      <c r="G23" s="13"/>
      <c r="H23" s="13"/>
      <c r="I23" s="13"/>
      <c r="J23" s="13"/>
      <c r="K23" s="14"/>
      <c r="L23" s="14"/>
      <c r="M23" s="13"/>
      <c r="N23" s="13"/>
      <c r="O23" s="13"/>
      <c r="P23" s="13"/>
      <c r="Q23" s="13"/>
    </row>
    <row r="24" spans="1:17" ht="17" x14ac:dyDescent="0.4">
      <c r="A24" s="7"/>
      <c r="B24" s="13"/>
      <c r="C24" s="13"/>
      <c r="D24" s="13"/>
      <c r="E24" s="13"/>
      <c r="F24" s="13"/>
      <c r="G24" s="13"/>
      <c r="H24" s="13"/>
      <c r="I24" s="13"/>
      <c r="J24" s="13"/>
      <c r="K24" s="14"/>
      <c r="L24" s="14"/>
      <c r="M24" s="13"/>
      <c r="N24" s="13"/>
      <c r="O24" s="13"/>
      <c r="P24" s="13"/>
      <c r="Q24" s="13"/>
    </row>
    <row r="25" spans="1:17" ht="17" x14ac:dyDescent="0.4">
      <c r="A25" s="7"/>
      <c r="B25" s="13"/>
      <c r="C25" s="13"/>
      <c r="D25" s="13"/>
      <c r="E25" s="13"/>
      <c r="F25" s="13"/>
      <c r="G25" s="13"/>
      <c r="H25" s="13"/>
      <c r="I25" s="13"/>
      <c r="J25" s="13"/>
      <c r="K25" s="14"/>
      <c r="L25" s="14"/>
      <c r="M25" s="13"/>
      <c r="N25" s="13"/>
      <c r="O25" s="13"/>
      <c r="P25" s="13"/>
      <c r="Q25" s="13"/>
    </row>
    <row r="26" spans="1:17" ht="17" x14ac:dyDescent="0.4">
      <c r="A26" s="7"/>
      <c r="B26" s="13"/>
      <c r="C26" s="13"/>
      <c r="D26" s="13"/>
      <c r="E26" s="13"/>
      <c r="F26" s="13"/>
      <c r="G26" s="13"/>
      <c r="H26" s="13"/>
      <c r="I26" s="13"/>
      <c r="J26" s="13"/>
      <c r="K26" s="14"/>
      <c r="L26" s="14"/>
      <c r="M26" s="13"/>
      <c r="N26" s="13"/>
      <c r="O26" s="13"/>
      <c r="P26" s="13"/>
      <c r="Q26" s="13"/>
    </row>
    <row r="27" spans="1:17" ht="17" x14ac:dyDescent="0.4">
      <c r="A27" s="7"/>
      <c r="B27" s="13"/>
      <c r="C27" s="13"/>
      <c r="D27" s="13"/>
      <c r="E27" s="13"/>
      <c r="F27" s="13"/>
      <c r="G27" s="13"/>
      <c r="H27" s="13"/>
      <c r="I27" s="13"/>
      <c r="J27" s="13"/>
      <c r="K27" s="14"/>
      <c r="L27" s="14"/>
      <c r="M27" s="13"/>
      <c r="N27" s="13"/>
      <c r="O27" s="13"/>
      <c r="P27" s="13"/>
      <c r="Q27" s="13"/>
    </row>
    <row r="28" spans="1:17" ht="17" x14ac:dyDescent="0.4">
      <c r="A28" s="7"/>
      <c r="B28" s="13"/>
      <c r="C28" s="13"/>
      <c r="D28" s="13"/>
      <c r="E28" s="13"/>
      <c r="F28" s="13"/>
      <c r="G28" s="13"/>
      <c r="H28" s="13"/>
      <c r="I28" s="13"/>
      <c r="J28" s="13"/>
      <c r="K28" s="14"/>
      <c r="L28" s="14"/>
      <c r="M28" s="13"/>
      <c r="N28" s="13"/>
      <c r="O28" s="13"/>
      <c r="P28" s="13"/>
      <c r="Q28" s="13"/>
    </row>
    <row r="29" spans="1:17" ht="17" x14ac:dyDescent="0.4">
      <c r="A29" s="7"/>
      <c r="B29" s="13"/>
      <c r="C29" s="13"/>
      <c r="D29" s="13"/>
      <c r="E29" s="13"/>
      <c r="F29" s="13"/>
      <c r="G29" s="13"/>
      <c r="H29" s="13"/>
      <c r="I29" s="13"/>
      <c r="J29" s="13"/>
      <c r="K29" s="14"/>
      <c r="L29" s="14"/>
      <c r="M29" s="13"/>
      <c r="N29" s="13"/>
      <c r="O29" s="13"/>
      <c r="P29" s="13"/>
      <c r="Q29" s="13"/>
    </row>
    <row r="30" spans="1:17" ht="17" x14ac:dyDescent="0.4">
      <c r="A30" s="7"/>
      <c r="B30" s="13"/>
      <c r="C30" s="13"/>
      <c r="D30" s="13"/>
      <c r="E30" s="13"/>
      <c r="F30" s="13"/>
      <c r="G30" s="13"/>
      <c r="H30" s="13"/>
      <c r="I30" s="13"/>
      <c r="J30" s="13"/>
      <c r="K30" s="14"/>
      <c r="L30" s="14"/>
      <c r="M30" s="13"/>
      <c r="N30" s="13"/>
      <c r="O30" s="13"/>
      <c r="P30" s="13"/>
      <c r="Q30" s="13"/>
    </row>
    <row r="31" spans="1:17" ht="17" x14ac:dyDescent="0.4">
      <c r="A31" s="7"/>
      <c r="B31" s="13"/>
      <c r="C31" s="13"/>
      <c r="D31" s="13"/>
      <c r="E31" s="13"/>
      <c r="F31" s="13"/>
      <c r="G31" s="13"/>
      <c r="H31" s="13"/>
      <c r="I31" s="13"/>
      <c r="J31" s="13"/>
      <c r="K31" s="14"/>
      <c r="L31" s="14"/>
      <c r="M31" s="13"/>
      <c r="N31" s="13"/>
      <c r="O31" s="13"/>
      <c r="P31" s="13"/>
      <c r="Q31" s="13"/>
    </row>
    <row r="32" spans="1:17" ht="17" x14ac:dyDescent="0.4">
      <c r="A32" s="7"/>
      <c r="B32" s="13"/>
      <c r="C32" s="13"/>
      <c r="D32" s="13"/>
      <c r="E32" s="13"/>
      <c r="F32" s="13"/>
      <c r="G32" s="13"/>
      <c r="H32" s="13"/>
      <c r="I32" s="13"/>
      <c r="J32" s="13"/>
      <c r="K32" s="14"/>
      <c r="L32" s="14"/>
      <c r="M32" s="13"/>
      <c r="N32" s="13"/>
      <c r="O32" s="13"/>
      <c r="P32" s="13"/>
      <c r="Q32" s="13"/>
    </row>
    <row r="33" spans="1:17" ht="17" x14ac:dyDescent="0.4">
      <c r="A33" s="7"/>
      <c r="B33" s="13"/>
      <c r="C33" s="13"/>
      <c r="D33" s="13"/>
      <c r="E33" s="13"/>
      <c r="F33" s="13"/>
      <c r="G33" s="13"/>
      <c r="H33" s="13"/>
      <c r="I33" s="13"/>
      <c r="J33" s="13"/>
      <c r="K33" s="14"/>
      <c r="L33" s="14"/>
      <c r="M33" s="13"/>
      <c r="N33" s="13"/>
      <c r="O33" s="13"/>
      <c r="P33" s="13"/>
      <c r="Q33" s="13"/>
    </row>
    <row r="34" spans="1:17" ht="17" x14ac:dyDescent="0.4">
      <c r="A34" s="7"/>
      <c r="B34" s="13"/>
      <c r="C34" s="13"/>
      <c r="D34" s="13"/>
      <c r="E34" s="13"/>
      <c r="F34" s="13"/>
      <c r="G34" s="13"/>
      <c r="H34" s="13"/>
      <c r="I34" s="13"/>
      <c r="J34" s="13"/>
      <c r="K34" s="14"/>
      <c r="L34" s="14"/>
      <c r="M34" s="13"/>
      <c r="N34" s="13"/>
      <c r="O34" s="13"/>
      <c r="P34" s="13"/>
      <c r="Q34" s="13"/>
    </row>
    <row r="35" spans="1:17" ht="17" x14ac:dyDescent="0.4">
      <c r="A35" s="7"/>
      <c r="B35" s="13"/>
      <c r="C35" s="13"/>
      <c r="D35" s="13"/>
      <c r="E35" s="13"/>
      <c r="F35" s="13"/>
      <c r="G35" s="13"/>
      <c r="H35" s="13"/>
      <c r="I35" s="13"/>
      <c r="J35" s="13"/>
      <c r="K35" s="14"/>
      <c r="L35" s="14"/>
      <c r="M35" s="13"/>
      <c r="N35" s="13"/>
      <c r="O35" s="13"/>
      <c r="P35" s="13"/>
      <c r="Q35" s="13"/>
    </row>
    <row r="36" spans="1:17" ht="17" x14ac:dyDescent="0.4">
      <c r="A36" s="7"/>
      <c r="B36" s="13"/>
      <c r="C36" s="13"/>
      <c r="D36" s="13"/>
      <c r="E36" s="13"/>
      <c r="F36" s="13"/>
      <c r="G36" s="13"/>
      <c r="H36" s="13"/>
      <c r="I36" s="13"/>
      <c r="J36" s="13"/>
      <c r="K36" s="14"/>
      <c r="L36" s="14"/>
      <c r="M36" s="13"/>
      <c r="N36" s="13"/>
      <c r="O36" s="13"/>
      <c r="P36" s="13"/>
      <c r="Q36" s="13"/>
    </row>
    <row r="37" spans="1:17" ht="17" x14ac:dyDescent="0.4">
      <c r="A37" s="7"/>
      <c r="B37" s="13"/>
      <c r="C37" s="13"/>
      <c r="D37" s="13"/>
      <c r="E37" s="13"/>
      <c r="F37" s="13"/>
      <c r="G37" s="13"/>
      <c r="H37" s="13"/>
      <c r="I37" s="13"/>
      <c r="J37" s="13"/>
      <c r="K37" s="14"/>
      <c r="L37" s="14"/>
      <c r="M37" s="13"/>
      <c r="N37" s="13"/>
      <c r="O37" s="13"/>
      <c r="P37" s="13"/>
      <c r="Q37" s="13"/>
    </row>
    <row r="38" spans="1:17" ht="17" x14ac:dyDescent="0.4">
      <c r="A38" s="7"/>
      <c r="B38" s="13"/>
      <c r="C38" s="13"/>
      <c r="D38" s="13"/>
      <c r="E38" s="13"/>
      <c r="F38" s="13"/>
      <c r="G38" s="13"/>
      <c r="H38" s="13"/>
      <c r="I38" s="13"/>
      <c r="J38" s="13"/>
      <c r="K38" s="14"/>
      <c r="L38" s="14"/>
      <c r="M38" s="13"/>
      <c r="N38" s="13"/>
      <c r="O38" s="13"/>
      <c r="P38" s="13"/>
      <c r="Q38" s="13"/>
    </row>
    <row r="39" spans="1:17" ht="17" x14ac:dyDescent="0.4">
      <c r="A39" s="7"/>
      <c r="B39" s="13"/>
      <c r="C39" s="13"/>
      <c r="D39" s="13"/>
      <c r="E39" s="13"/>
      <c r="F39" s="13"/>
      <c r="G39" s="13"/>
      <c r="H39" s="13"/>
      <c r="I39" s="13"/>
      <c r="J39" s="13"/>
      <c r="K39" s="14"/>
      <c r="L39" s="14"/>
      <c r="M39" s="13"/>
      <c r="N39" s="13"/>
      <c r="O39" s="13"/>
      <c r="P39" s="13"/>
      <c r="Q39" s="13"/>
    </row>
    <row r="40" spans="1:17" ht="17" x14ac:dyDescent="0.4">
      <c r="A40" s="7"/>
      <c r="B40" s="13"/>
      <c r="C40" s="13"/>
      <c r="D40" s="13"/>
      <c r="E40" s="13"/>
      <c r="F40" s="13"/>
      <c r="G40" s="13"/>
      <c r="H40" s="13"/>
      <c r="I40" s="13"/>
      <c r="J40" s="13"/>
      <c r="K40" s="14"/>
      <c r="L40" s="14"/>
      <c r="M40" s="13"/>
      <c r="N40" s="13"/>
      <c r="O40" s="13"/>
      <c r="P40" s="13"/>
      <c r="Q40" s="13"/>
    </row>
    <row r="41" spans="1:17" ht="17" x14ac:dyDescent="0.4">
      <c r="A41" s="7"/>
      <c r="B41" s="13"/>
      <c r="C41" s="13"/>
      <c r="D41" s="13"/>
      <c r="E41" s="13"/>
      <c r="F41" s="13"/>
      <c r="G41" s="13"/>
      <c r="H41" s="13"/>
      <c r="I41" s="13"/>
      <c r="J41" s="13"/>
      <c r="K41" s="14"/>
      <c r="L41" s="14"/>
      <c r="M41" s="13"/>
      <c r="N41" s="13"/>
      <c r="O41" s="13"/>
      <c r="P41" s="13"/>
      <c r="Q41" s="13"/>
    </row>
    <row r="42" spans="1:17" ht="17" x14ac:dyDescent="0.4">
      <c r="A42" s="7"/>
      <c r="B42" s="13"/>
      <c r="C42" s="13"/>
      <c r="D42" s="13"/>
      <c r="E42" s="13"/>
      <c r="F42" s="13"/>
      <c r="G42" s="13"/>
      <c r="H42" s="13"/>
      <c r="I42" s="13"/>
      <c r="J42" s="13"/>
      <c r="K42" s="14"/>
      <c r="L42" s="14"/>
      <c r="M42" s="13"/>
      <c r="N42" s="13"/>
      <c r="O42" s="13"/>
      <c r="P42" s="13"/>
      <c r="Q42" s="13"/>
    </row>
    <row r="43" spans="1:17" ht="17" x14ac:dyDescent="0.4">
      <c r="A43" s="7"/>
      <c r="B43" s="13"/>
      <c r="C43" s="13"/>
      <c r="D43" s="13"/>
      <c r="E43" s="13"/>
      <c r="F43" s="13"/>
      <c r="G43" s="13"/>
      <c r="H43" s="13"/>
      <c r="I43" s="13"/>
      <c r="J43" s="13"/>
      <c r="K43" s="14"/>
      <c r="L43" s="14"/>
      <c r="M43" s="13"/>
      <c r="N43" s="13"/>
      <c r="O43" s="13"/>
      <c r="P43" s="13"/>
      <c r="Q43" s="13"/>
    </row>
    <row r="44" spans="1:17" ht="17" x14ac:dyDescent="0.4">
      <c r="A44" s="7"/>
      <c r="B44" s="13"/>
      <c r="C44" s="13"/>
      <c r="D44" s="13"/>
      <c r="E44" s="13"/>
      <c r="F44" s="13"/>
      <c r="G44" s="13"/>
      <c r="H44" s="13"/>
      <c r="I44" s="13"/>
      <c r="J44" s="13"/>
      <c r="K44" s="14"/>
      <c r="L44" s="14"/>
      <c r="M44" s="13"/>
      <c r="N44" s="13"/>
      <c r="O44" s="13"/>
      <c r="P44" s="13"/>
      <c r="Q44" s="13"/>
    </row>
    <row r="45" spans="1:17" ht="17" x14ac:dyDescent="0.4">
      <c r="A45" s="7"/>
      <c r="B45" s="13"/>
      <c r="C45" s="13"/>
      <c r="D45" s="13"/>
      <c r="E45" s="13"/>
      <c r="F45" s="13"/>
      <c r="G45" s="13"/>
      <c r="H45" s="13"/>
      <c r="I45" s="13"/>
      <c r="J45" s="13"/>
      <c r="K45" s="14"/>
      <c r="L45" s="14"/>
      <c r="M45" s="13"/>
      <c r="N45" s="13"/>
      <c r="O45" s="13"/>
      <c r="P45" s="13"/>
      <c r="Q45" s="13"/>
    </row>
    <row r="46" spans="1:17" ht="17" x14ac:dyDescent="0.4">
      <c r="A46" s="7"/>
      <c r="B46" s="13"/>
      <c r="C46" s="13"/>
      <c r="D46" s="13"/>
      <c r="E46" s="13"/>
      <c r="F46" s="13"/>
      <c r="G46" s="13"/>
      <c r="H46" s="13"/>
      <c r="I46" s="13"/>
      <c r="J46" s="13"/>
      <c r="K46" s="14"/>
      <c r="L46" s="14"/>
      <c r="M46" s="13"/>
      <c r="N46" s="13"/>
      <c r="O46" s="13"/>
      <c r="P46" s="13"/>
      <c r="Q46" s="13"/>
    </row>
    <row r="47" spans="1:17" ht="17" x14ac:dyDescent="0.4">
      <c r="A47" s="7"/>
      <c r="B47" s="13"/>
      <c r="C47" s="13"/>
      <c r="D47" s="13"/>
      <c r="E47" s="13"/>
      <c r="F47" s="13"/>
      <c r="G47" s="13"/>
      <c r="H47" s="13"/>
      <c r="I47" s="13"/>
      <c r="J47" s="13"/>
      <c r="K47" s="14"/>
      <c r="L47" s="14"/>
      <c r="M47" s="13"/>
      <c r="N47" s="13"/>
      <c r="O47" s="13"/>
      <c r="P47" s="13"/>
      <c r="Q47" s="13"/>
    </row>
    <row r="48" spans="1:17" x14ac:dyDescent="0.35">
      <c r="A48" s="13"/>
      <c r="B48" s="13"/>
      <c r="C48" s="13"/>
      <c r="D48" s="13"/>
      <c r="E48" s="13"/>
      <c r="F48" s="13"/>
      <c r="G48" s="13"/>
      <c r="H48" s="13"/>
      <c r="I48" s="13"/>
      <c r="J48" s="13"/>
      <c r="K48" s="14"/>
      <c r="L48" s="14"/>
      <c r="M48" s="13"/>
      <c r="N48" s="13"/>
      <c r="O48" s="13"/>
      <c r="P48" s="13"/>
      <c r="Q48" s="13"/>
    </row>
    <row r="49" spans="1:17" x14ac:dyDescent="0.35">
      <c r="A49" s="13"/>
      <c r="B49" s="13"/>
      <c r="C49" s="13"/>
      <c r="D49" s="13"/>
      <c r="E49" s="13"/>
      <c r="F49" s="13"/>
      <c r="G49" s="13"/>
      <c r="H49" s="13"/>
      <c r="I49" s="13"/>
      <c r="J49" s="13"/>
      <c r="K49" s="14"/>
      <c r="L49" s="14"/>
      <c r="M49" s="13"/>
      <c r="N49" s="13"/>
      <c r="O49" s="13"/>
      <c r="P49" s="13"/>
      <c r="Q49" s="13"/>
    </row>
    <row r="50" spans="1:17" x14ac:dyDescent="0.35">
      <c r="A50" s="13"/>
      <c r="B50" s="13"/>
      <c r="C50" s="13"/>
      <c r="D50" s="13"/>
      <c r="E50" s="13"/>
      <c r="F50" s="13"/>
      <c r="G50" s="13"/>
      <c r="H50" s="13"/>
      <c r="I50" s="13"/>
      <c r="J50" s="13"/>
      <c r="K50" s="14"/>
      <c r="L50" s="14"/>
      <c r="M50" s="13"/>
      <c r="N50" s="13"/>
      <c r="O50" s="13"/>
      <c r="P50" s="13"/>
      <c r="Q50" s="13"/>
    </row>
  </sheetData>
  <autoFilter ref="A1:Q22" xr:uid="{63DA3E44-3605-449C-AE11-8D4FB01A0BBE}">
    <sortState xmlns:xlrd2="http://schemas.microsoft.com/office/spreadsheetml/2017/richdata2" ref="A2:Q22">
      <sortCondition ref="B1"/>
    </sortState>
  </autoFilter>
  <phoneticPr fontId="7" type="noConversion"/>
  <pageMargins left="0.25" right="0.25" top="0.75" bottom="0.75" header="0.3" footer="0.3"/>
  <pageSetup scale="85"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Food halls</vt:lpstr>
      <vt:lpstr>'Food halls'!Print_Area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2024-07-15T01:55:09Z</cp:lastPrinted>
  <dcterms:created xsi:type="dcterms:W3CDTF">2024-03-17T21:07:34Z</dcterms:created>
  <dcterms:modified xsi:type="dcterms:W3CDTF">2024-08-09T01:28:45Z</dcterms:modified>
</cp:coreProperties>
</file>