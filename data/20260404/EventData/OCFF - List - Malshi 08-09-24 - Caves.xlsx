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227" documentId="8_{1C74C027-02D7-4425-9C18-E5B84ED3B87E}" xr6:coauthVersionLast="47" xr6:coauthVersionMax="47" xr10:uidLastSave="{08E545F4-268F-4776-B56C-40530D62907F}"/>
  <bookViews>
    <workbookView xWindow="-110" yWindow="-110" windowWidth="19420" windowHeight="11500" xr2:uid="{3F4AF157-4EA4-44F9-9369-4ED39BF1C451}"/>
  </bookViews>
  <sheets>
    <sheet name="Caves" sheetId="2" r:id="rId1"/>
  </sheets>
  <definedNames>
    <definedName name="_xlnm._FilterDatabase" localSheetId="0" hidden="1">Caves!$A$1:$Q$1</definedName>
    <definedName name="_xlnm.Print_Area" localSheetId="0">Caves!$A$1:$B$1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2" l="1"/>
  <c r="Q4" i="2"/>
  <c r="Q5" i="2"/>
  <c r="Q6" i="2"/>
  <c r="Q7" i="2"/>
  <c r="Q8" i="2"/>
  <c r="Q9" i="2"/>
  <c r="Q10" i="2"/>
  <c r="E5" i="2"/>
  <c r="O5" i="2"/>
  <c r="E7" i="2"/>
  <c r="O7" i="2"/>
  <c r="E10" i="2"/>
  <c r="O10" i="2"/>
  <c r="E6" i="2"/>
  <c r="O6" i="2"/>
  <c r="E3" i="2"/>
  <c r="O3" i="2"/>
  <c r="E9" i="2"/>
  <c r="E4" i="2"/>
  <c r="E2" i="2"/>
  <c r="E8" i="2"/>
  <c r="Q2" i="2"/>
  <c r="O9" i="2"/>
  <c r="O4" i="2"/>
  <c r="O2" i="2"/>
  <c r="O8" i="2"/>
</calcChain>
</file>

<file path=xl/sharedStrings.xml><?xml version="1.0" encoding="utf-8"?>
<sst xmlns="http://schemas.openxmlformats.org/spreadsheetml/2006/main" count="116" uniqueCount="73">
  <si>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</si>
  <si>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</si>
  <si>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</si>
  <si>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</si>
  <si>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</si>
  <si>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</si>
  <si>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</si>
  <si>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</si>
  <si>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</si>
  <si>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</si>
  <si>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</si>
  <si>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</si>
  <si>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</si>
  <si>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</si>
  <si>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</si>
  <si>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</si>
  <si>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Newport Beach - Treasure Cove Sea Cave</t>
  </si>
  <si>
    <t>Cave</t>
  </si>
  <si>
    <t>https://www.californiabeaches.com/beach/crystal-cove-state-park-treasure-cove-beach/</t>
  </si>
  <si>
    <t xml:space="preserve">E Pacific Coast Hwy and Newport Coast Dr. Newport Beach, CA </t>
  </si>
  <si>
    <t>Date, family, solo, group</t>
  </si>
  <si>
    <t>Family</t>
  </si>
  <si>
    <r>
      <t>Located in the beautiful </t>
    </r>
    <r>
      <rPr>
        <sz val="8"/>
        <color theme="1"/>
        <rFont val="Arial"/>
        <family val="2"/>
      </rPr>
      <t>Crystal Cove State Park</t>
    </r>
    <r>
      <rPr>
        <sz val="8"/>
        <color rgb="FF333333"/>
        <rFont val="Arial"/>
        <family val="2"/>
      </rPr>
      <t>, this cave can be found at </t>
    </r>
    <r>
      <rPr>
        <sz val="8"/>
        <color theme="1"/>
        <rFont val="Arial"/>
        <family val="2"/>
      </rPr>
      <t>Treasure Cove</t>
    </r>
    <r>
      <rPr>
        <sz val="8"/>
        <color rgb="FF333333"/>
        <rFont val="Arial"/>
        <family val="2"/>
      </rPr>
      <t> and is accessible only during low tide. Luckily many of the tide pools at Crystal Cove are near the cave and also exposed at low tide.</t>
    </r>
  </si>
  <si>
    <t>Laguna Beach - Thousand Steps Sea Cave</t>
  </si>
  <si>
    <r>
      <t>This cave in Laguna Beach might be the most impressive on the list. You’ll find it at the south end of </t>
    </r>
    <r>
      <rPr>
        <sz val="8"/>
        <rFont val="Arial"/>
        <family val="2"/>
      </rPr>
      <t>Thousand Steps Beach, a beautiful sandy beach that requires going down a long set of stairs. A bonus with this beach is the rock arch at the north end of the beach that leads to a hidden beach on the other side. Be sure to visit at low tide so you can see both natural features.</t>
    </r>
  </si>
  <si>
    <r>
      <t xml:space="preserve"> You’ll find this impressive cave at at the south end of </t>
    </r>
    <r>
      <rPr>
        <sz val="8"/>
        <rFont val="Arial"/>
        <family val="2"/>
      </rPr>
      <t>Thousand Steps Beach, a beautiful sandy beach that requires going down a long set of stairs.</t>
    </r>
  </si>
  <si>
    <t>https://www.californiabeaches.com/beach/thousand-steps-beach-laguna/</t>
  </si>
  <si>
    <t xml:space="preserve">CA-1 &amp; 9th Ave Laguna Beach, CA </t>
  </si>
  <si>
    <t>Dana Point - Headlands Beach Sea Cave</t>
  </si>
  <si>
    <t>This cave like the others is best at low tide. You start at Dana Point Headlands Beach and walk around the end of the point looking for a small slot in the rocks. This is the back door to the cave which has a larger opening lower in the water. The path to get to this cave is quite rocky so bring good shoes.</t>
  </si>
  <si>
    <t xml:space="preserve"> You start at Dana Point Headlands Beach and walk around the end of the point looking for a small slot in the rocks. </t>
  </si>
  <si>
    <t>https://www.californiabeaches.com/beach/dana-point-headlands-beach/</t>
  </si>
  <si>
    <t>Dana</t>
  </si>
  <si>
    <t>24200 Dana Point Harbor Drive Dana Point, CA</t>
  </si>
  <si>
    <t xml:space="preserve">Poppy Ave &amp; Ocean Blvd Newport Beach, CA </t>
  </si>
  <si>
    <t>Newport trea</t>
  </si>
  <si>
    <t>Newport little</t>
  </si>
  <si>
    <t>Newport Beach - Little Corona Del Mar Beach Sea Cave</t>
  </si>
  <si>
    <r>
      <t>If you visit </t>
    </r>
    <r>
      <rPr>
        <sz val="8"/>
        <color theme="1"/>
        <rFont val="Arial"/>
        <family val="2"/>
      </rPr>
      <t>Little Corona del Mar</t>
    </r>
    <r>
      <rPr>
        <sz val="8"/>
        <color rgb="FF333333"/>
        <rFont val="Arial"/>
        <family val="2"/>
      </rPr>
      <t> and walk south during low tide to see the tide pools, you will discover several caves in the bluff too. Keep going around the bend toward </t>
    </r>
    <r>
      <rPr>
        <sz val="8"/>
        <color theme="1"/>
        <rFont val="Arial"/>
        <family val="2"/>
      </rPr>
      <t>Cameo Shores Beach</t>
    </r>
    <r>
      <rPr>
        <sz val="8"/>
        <color rgb="FF333333"/>
        <rFont val="Arial"/>
        <family val="2"/>
      </rPr>
      <t> and you’ll find even more on the way. Arch Rock, a frequently photographed </t>
    </r>
    <r>
      <rPr>
        <sz val="8"/>
        <color theme="1"/>
        <rFont val="Arial"/>
        <family val="2"/>
      </rPr>
      <t>natural rock arch</t>
    </r>
    <r>
      <rPr>
        <sz val="8"/>
        <color rgb="FF333333"/>
        <rFont val="Arial"/>
        <family val="2"/>
      </rPr>
      <t>, is an added bonus for this scenic walk. Just bring sturdy shoes as the rocks here are sharp.</t>
    </r>
  </si>
  <si>
    <r>
      <t>If you visit </t>
    </r>
    <r>
      <rPr>
        <sz val="8"/>
        <color theme="1"/>
        <rFont val="Arial"/>
        <family val="2"/>
      </rPr>
      <t>Little Corona del Mar</t>
    </r>
    <r>
      <rPr>
        <sz val="8"/>
        <color rgb="FF333333"/>
        <rFont val="Arial"/>
        <family val="2"/>
      </rPr>
      <t xml:space="preserve"> and walk south during low tide to see the tide pools, you will discover several caves in the bluff too. </t>
    </r>
  </si>
  <si>
    <t>https://www.californiabeaches.com/beach/little-corona-del-mar-beach/#google_vignette</t>
  </si>
  <si>
    <t>Laguna Beach - Fisherman's Beach Sea Cave</t>
  </si>
  <si>
    <t>https://www.visitlagunabeach.com/things-to-do/beaches/fishermans-cove/</t>
  </si>
  <si>
    <t>“Fisherman’s,” as residents call it, is the North Laguna version of Table Rock Beach – a local favorite, full of secrets. The beach is just north of Diver’s Cove and south of Shaw’s Cove, separated from both by rocky outcroppings. Though it’s not private, it sort of has that feel – the southern access point passes houses and the residents keep their SUPs (Stand-Up Paddling) and kayaks locked up on the bluffs.</t>
  </si>
  <si>
    <t xml:space="preserve">“Fisherman’s,” as residents call it, is the North Laguna version of Table Rock Beach – a local favorite, full of secrets. </t>
  </si>
  <si>
    <t xml:space="preserve">665 Cliff Dr Laguna Beach, CA </t>
  </si>
  <si>
    <t>Caves</t>
  </si>
  <si>
    <t>Laguna niguel</t>
  </si>
  <si>
    <t xml:space="preserve">28373 Alicia Pkwy Laguna Niguel, CA </t>
  </si>
  <si>
    <t>Laguna Niguel - Dripping Cave Trail</t>
  </si>
  <si>
    <t>https://www.alltrails.com/ar/trail/us/california/dripping-cave-hollow-oak-trail</t>
  </si>
  <si>
    <t>Once you get to the Dripping Cave Trail, you'll find one of the prettiest spots in Aliso &amp; Wood Canyons. Stop at the cave and read the story! It's fascinating. Lots of rabbits, quail, and deer in the area. Bring sunscreen in the summer, there is limited shade.</t>
  </si>
  <si>
    <t xml:space="preserve">Once you get to the Dripping Cave Trail, you'll find one of the prettiest spots in Aliso &amp; Wood Canyons. Stop at the cave and read the story! </t>
  </si>
  <si>
    <t>Orange - Black Star Canyon Trail Cave</t>
  </si>
  <si>
    <t>Orange</t>
  </si>
  <si>
    <t xml:space="preserve">Black Star Canyon Rd Orange, CA </t>
  </si>
  <si>
    <t>https://www.alltrails.com/ar/trail/us/california/black-star-canyon-trail</t>
  </si>
  <si>
    <t xml:space="preserve">Black Star Canyon Trail is an adventurous trip in the Cleveland National Forest along streambeds and over rocky terrain that leads to Black Star Canyon Falls. This is a great hike in the Orange County area for those looking to practice their more technical scrambling skills. To get to the trailhead, follow Santiago Canyon Road and turn onto Silverado Canyon Road. Immediately turn left onto Black Star Canyon Road and there is parking at the end of the road. </t>
  </si>
  <si>
    <t xml:space="preserve">Black Star Canyon Trail is an adventurous trip in the Cleveland National Forest along streambeds and over rocky terrain that leads to Black Star Canyon Falls. </t>
  </si>
  <si>
    <t>Lake Forest - Red Rock Canyon Cave</t>
  </si>
  <si>
    <t>Lake</t>
  </si>
  <si>
    <t xml:space="preserve">Red Rock Trail Lake Forest, CA </t>
  </si>
  <si>
    <t>https://hikingguy.com/hiking-trails/hiking-orange-county/whiting-ranch-hiking-red-rock-canyon/</t>
  </si>
  <si>
    <t>There's a few Whiting Ranch hiking options, but Red Rock Canyon is the most popular for a good reason. The gently climbing trail makes it way up a oak woodland canyon, eventually ending in a smooth red rock canyon like you'd see in Arizona (but unique to Orange County). Whiting Ranch Wilderness Park is rich with wildlife. I often see squirrels and lizards, and less often deer. The hike is mellow, easy, and is great for families.</t>
  </si>
  <si>
    <t>Red Rock Canyon Cave - The gently climbing trail makes it way up a oak woodland canyon, eventually ending in a smooth red rock canyon is unique to OC. </t>
  </si>
  <si>
    <t xml:space="preserve">5 Bay Dr Laguna Beach, CA </t>
  </si>
  <si>
    <t>Laguna Beach - Three Arch Bay Cave</t>
  </si>
  <si>
    <r>
      <t>Three Arch Bay</t>
    </r>
    <r>
      <rPr>
        <sz val="8"/>
        <rFont val="Arial"/>
        <family val="2"/>
      </rPr>
      <t> is a 29-acre private gated community located in the South Laguna neighborhood of Laguna Beach, California. It is named for a formation of three natural arches in the rocky cliffs along the ocean.</t>
    </r>
  </si>
  <si>
    <r>
      <t>Three Arch Bay</t>
    </r>
    <r>
      <rPr>
        <sz val="8"/>
        <rFont val="Arial"/>
        <family val="2"/>
      </rPr>
      <t xml:space="preserve"> is a 29-acre private gated community located in the South Laguna neighborhood of Laguna Beach, California. </t>
    </r>
  </si>
  <si>
    <t>https://www.californiabeaches.com/beach/three-arch-bay-beach/</t>
  </si>
  <si>
    <t>Laguna beach fish</t>
  </si>
  <si>
    <t>Laguna beach thous</t>
  </si>
  <si>
    <t>Laguna beach three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</si>
</sst>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name val="Times New Roman"/>
      <family val="1"/>
    </font>
    <font>
      <sz val="8"/>
      <name val="Aptos Narrow"/>
      <family val="2"/>
      <scheme val="minor"/>
    </font>
    <font>
      <sz val="8"/>
      <color rgb="FF333333"/>
      <name val="Arial"/>
      <family val="2"/>
    </font>
    <font>
      <sz val="8"/>
      <color theme="1"/>
      <name val="Arial"/>
      <family val="2"/>
    </font>
    <font>
      <sz val="8"/>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2" fillId="4" borderId="1" xfId="0" applyFont="1" applyFill="1" applyBorder="1" applyAlignment="1">
      <alignment horizontal="left"/>
    </xf>
    <xf numFmtId="0" fontId="4" fillId="4" borderId="1" xfId="0" applyFont="1" applyFill="1" applyBorder="1" applyAlignment="1">
      <alignment wrapText="1"/>
    </xf>
    <xf numFmtId="14" fontId="2" fillId="4" borderId="1" xfId="0" applyNumberFormat="1" applyFont="1" applyFill="1" applyBorder="1"/>
    <xf numFmtId="0" fontId="0" fillId="4" borderId="0" xfId="0" applyFill="1"/>
    <xf numFmtId="0" fontId="0" fillId="0" borderId="1" xfId="0" applyBorder="1"/>
    <xf numFmtId="0" fontId="0" fillId="3"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45"/>
  <sheetViews>
    <sheetView tabSelected="1" zoomScale="80" zoomScaleNormal="80" workbookViewId="0">
      <pane ySplit="1" topLeftCell="A2" activePane="bottomLeft" state="frozen"/>
      <selection pane="bottomLeft" activeCell="B2" sqref="B2"/>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4.453125" style="4" customWidth="1"/>
    <col min="12" max="12" width="14.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1" customFormat="1" ht="85.5" customHeight="1" x14ac:dyDescent="0.4">
      <c r="A2" s="7" t="s">
        <v>28</v>
      </c>
      <c r="B2" s="7" t="s">
        <v>28</v>
      </c>
      <c r="C2" s="14" t="s">
        <v>29</v>
      </c>
      <c r="D2" s="14" t="s">
        <v>30</v>
      </c>
      <c r="E2" s="7">
        <f>LEN(D2)</f>
        <v>117</v>
      </c>
      <c r="F2" s="6" t="s">
        <v>17</v>
      </c>
      <c r="G2" s="8">
        <v>92629</v>
      </c>
      <c r="H2" s="9" t="s">
        <v>33</v>
      </c>
      <c r="I2" s="6" t="s">
        <v>32</v>
      </c>
      <c r="J2" s="7" t="s">
        <v>31</v>
      </c>
      <c r="K2" s="10">
        <v>45292</v>
      </c>
      <c r="L2" s="10">
        <v>410534</v>
      </c>
      <c r="M2" s="7" t="s">
        <v>20</v>
      </c>
      <c r="N2" s="7" t="s">
        <v>46</v>
      </c>
      <c r="O2" s="6" t="str">
        <f>I2</f>
        <v>Dana</v>
      </c>
      <c r="P2" s="6" t="s">
        <v>21</v>
      </c>
      <c r="Q2" s="6" t="str">
        <f>N2</f>
        <v>Caves</v>
      </c>
    </row>
    <row r="3" spans="1:17" s="11" customFormat="1" ht="89" customHeight="1" x14ac:dyDescent="0.4">
      <c r="A3" s="7" t="s">
        <v>41</v>
      </c>
      <c r="B3" s="7" t="s">
        <v>41</v>
      </c>
      <c r="C3" s="14" t="s">
        <v>43</v>
      </c>
      <c r="D3" s="14" t="s">
        <v>44</v>
      </c>
      <c r="E3" s="7">
        <f>LEN(D3)</f>
        <v>122</v>
      </c>
      <c r="F3" s="6" t="s">
        <v>17</v>
      </c>
      <c r="G3" s="8">
        <v>92651</v>
      </c>
      <c r="H3" s="9" t="s">
        <v>45</v>
      </c>
      <c r="I3" s="6" t="s">
        <v>70</v>
      </c>
      <c r="J3" s="7" t="s">
        <v>42</v>
      </c>
      <c r="K3" s="10">
        <v>45292</v>
      </c>
      <c r="L3" s="10">
        <v>410534</v>
      </c>
      <c r="M3" s="7" t="s">
        <v>20</v>
      </c>
      <c r="N3" s="7" t="s">
        <v>46</v>
      </c>
      <c r="O3" s="6" t="str">
        <f>I3</f>
        <v>Laguna beach fish</v>
      </c>
      <c r="P3" s="6" t="s">
        <v>21</v>
      </c>
      <c r="Q3" s="6" t="str">
        <f>N3</f>
        <v>Caves</v>
      </c>
    </row>
    <row r="4" spans="1:17" s="11" customFormat="1" ht="97" customHeight="1" x14ac:dyDescent="0.4">
      <c r="A4" s="7" t="s">
        <v>23</v>
      </c>
      <c r="B4" s="7" t="s">
        <v>23</v>
      </c>
      <c r="C4" s="14" t="s">
        <v>24</v>
      </c>
      <c r="D4" s="14" t="s">
        <v>25</v>
      </c>
      <c r="E4" s="7">
        <f>LEN(D4)</f>
        <v>149</v>
      </c>
      <c r="F4" s="6" t="s">
        <v>17</v>
      </c>
      <c r="G4" s="8">
        <v>92651</v>
      </c>
      <c r="H4" s="9" t="s">
        <v>27</v>
      </c>
      <c r="I4" s="6" t="s">
        <v>71</v>
      </c>
      <c r="J4" s="7" t="s">
        <v>26</v>
      </c>
      <c r="K4" s="10">
        <v>45292</v>
      </c>
      <c r="L4" s="10">
        <v>410534</v>
      </c>
      <c r="M4" s="7" t="s">
        <v>20</v>
      </c>
      <c r="N4" s="7" t="s">
        <v>46</v>
      </c>
      <c r="O4" s="6" t="str">
        <f>I4</f>
        <v>Laguna beach thous</v>
      </c>
      <c r="P4" s="6" t="s">
        <v>21</v>
      </c>
      <c r="Q4" s="6" t="str">
        <f>N4</f>
        <v>Caves</v>
      </c>
    </row>
    <row r="5" spans="1:17" s="11" customFormat="1" ht="97" customHeight="1" x14ac:dyDescent="0.4">
      <c r="A5" s="7" t="s">
        <v>66</v>
      </c>
      <c r="B5" s="7" t="s">
        <v>66</v>
      </c>
      <c r="C5" s="14" t="s">
        <v>67</v>
      </c>
      <c r="D5" s="14" t="s">
        <v>68</v>
      </c>
      <c r="E5" s="7">
        <f>LEN(D5)</f>
        <v>122</v>
      </c>
      <c r="F5" s="6" t="s">
        <v>17</v>
      </c>
      <c r="G5" s="8">
        <v>92651</v>
      </c>
      <c r="H5" s="9" t="s">
        <v>65</v>
      </c>
      <c r="I5" s="6" t="s">
        <v>72</v>
      </c>
      <c r="J5" s="7" t="s">
        <v>69</v>
      </c>
      <c r="K5" s="10">
        <v>45292</v>
      </c>
      <c r="L5" s="10">
        <v>410534</v>
      </c>
      <c r="M5" s="7" t="s">
        <v>20</v>
      </c>
      <c r="N5" s="7" t="s">
        <v>46</v>
      </c>
      <c r="O5" s="6" t="str">
        <f>I5</f>
        <v>Laguna beach three</v>
      </c>
      <c r="P5" s="6" t="s">
        <v>21</v>
      </c>
      <c r="Q5" s="6" t="str">
        <f>N5</f>
        <v>Caves</v>
      </c>
    </row>
    <row r="6" spans="1:17" s="11" customFormat="1" ht="120" customHeight="1" x14ac:dyDescent="0.4">
      <c r="A6" s="7" t="s">
        <v>49</v>
      </c>
      <c r="B6" s="7" t="s">
        <v>49</v>
      </c>
      <c r="C6" s="14" t="s">
        <v>51</v>
      </c>
      <c r="D6" s="14" t="s">
        <v>52</v>
      </c>
      <c r="E6" s="7">
        <f>LEN(D6)</f>
        <v>142</v>
      </c>
      <c r="F6" s="6" t="s">
        <v>17</v>
      </c>
      <c r="G6" s="8">
        <v>92677</v>
      </c>
      <c r="H6" s="9" t="s">
        <v>48</v>
      </c>
      <c r="I6" s="6" t="s">
        <v>47</v>
      </c>
      <c r="J6" s="7" t="s">
        <v>50</v>
      </c>
      <c r="K6" s="10">
        <v>45292</v>
      </c>
      <c r="L6" s="10">
        <v>410534</v>
      </c>
      <c r="M6" s="7" t="s">
        <v>20</v>
      </c>
      <c r="N6" s="7" t="s">
        <v>46</v>
      </c>
      <c r="O6" s="6" t="str">
        <f>I6</f>
        <v>Laguna niguel</v>
      </c>
      <c r="P6" s="6" t="s">
        <v>21</v>
      </c>
      <c r="Q6" s="6" t="str">
        <f>N6</f>
        <v>Caves</v>
      </c>
    </row>
    <row r="7" spans="1:17" s="11" customFormat="1" ht="81" customHeight="1" x14ac:dyDescent="0.4">
      <c r="A7" s="7" t="s">
        <v>59</v>
      </c>
      <c r="B7" s="7" t="s">
        <v>59</v>
      </c>
      <c r="C7" s="14" t="s">
        <v>63</v>
      </c>
      <c r="D7" s="14" t="s">
        <v>64</v>
      </c>
      <c r="E7" s="7">
        <f>LEN(D7)</f>
        <v>151</v>
      </c>
      <c r="F7" s="6" t="s">
        <v>17</v>
      </c>
      <c r="G7" s="8">
        <v>92610</v>
      </c>
      <c r="H7" s="9" t="s">
        <v>61</v>
      </c>
      <c r="I7" s="6" t="s">
        <v>60</v>
      </c>
      <c r="J7" s="7" t="s">
        <v>62</v>
      </c>
      <c r="K7" s="10">
        <v>45292</v>
      </c>
      <c r="L7" s="10">
        <v>410534</v>
      </c>
      <c r="M7" s="7" t="s">
        <v>20</v>
      </c>
      <c r="N7" s="7" t="s">
        <v>46</v>
      </c>
      <c r="O7" s="6" t="str">
        <f>I7</f>
        <v>Lake</v>
      </c>
      <c r="P7" s="6" t="s">
        <v>21</v>
      </c>
      <c r="Q7" s="6" t="str">
        <f>N7</f>
        <v>Caves</v>
      </c>
    </row>
    <row r="8" spans="1:17" s="11" customFormat="1" ht="99.5" customHeight="1" x14ac:dyDescent="0.4">
      <c r="A8" s="7" t="s">
        <v>37</v>
      </c>
      <c r="B8" s="7" t="s">
        <v>37</v>
      </c>
      <c r="C8" s="14" t="s">
        <v>38</v>
      </c>
      <c r="D8" s="14" t="s">
        <v>39</v>
      </c>
      <c r="E8" s="7">
        <f>LEN(D8)</f>
        <v>139</v>
      </c>
      <c r="F8" s="6" t="s">
        <v>17</v>
      </c>
      <c r="G8" s="8">
        <v>92625</v>
      </c>
      <c r="H8" s="9" t="s">
        <v>34</v>
      </c>
      <c r="I8" s="6" t="s">
        <v>36</v>
      </c>
      <c r="J8" s="7" t="s">
        <v>40</v>
      </c>
      <c r="K8" s="10">
        <v>45292</v>
      </c>
      <c r="L8" s="10">
        <v>410534</v>
      </c>
      <c r="M8" s="7" t="s">
        <v>20</v>
      </c>
      <c r="N8" s="7" t="s">
        <v>46</v>
      </c>
      <c r="O8" s="6" t="str">
        <f>I8</f>
        <v>Newport little</v>
      </c>
      <c r="P8" s="6" t="s">
        <v>21</v>
      </c>
      <c r="Q8" s="6" t="str">
        <f>N8</f>
        <v>Caves</v>
      </c>
    </row>
    <row r="9" spans="1:17" s="11" customFormat="1" ht="89" customHeight="1" x14ac:dyDescent="0.4">
      <c r="A9" s="7" t="s">
        <v>16</v>
      </c>
      <c r="B9" s="7" t="s">
        <v>16</v>
      </c>
      <c r="C9" s="14" t="s">
        <v>22</v>
      </c>
      <c r="D9" s="14" t="s">
        <v>22</v>
      </c>
      <c r="E9" s="7">
        <f>LEN(D9)</f>
        <v>224</v>
      </c>
      <c r="F9" s="6" t="s">
        <v>17</v>
      </c>
      <c r="G9" s="8">
        <v>92657</v>
      </c>
      <c r="H9" s="9" t="s">
        <v>19</v>
      </c>
      <c r="I9" s="6" t="s">
        <v>35</v>
      </c>
      <c r="J9" s="7" t="s">
        <v>18</v>
      </c>
      <c r="K9" s="10">
        <v>45292</v>
      </c>
      <c r="L9" s="10">
        <v>410534</v>
      </c>
      <c r="M9" s="7" t="s">
        <v>20</v>
      </c>
      <c r="N9" s="7" t="s">
        <v>46</v>
      </c>
      <c r="O9" s="6" t="str">
        <f>I9</f>
        <v>Newport trea</v>
      </c>
      <c r="P9" s="6" t="s">
        <v>21</v>
      </c>
      <c r="Q9" s="6" t="str">
        <f>N9</f>
        <v>Caves</v>
      </c>
    </row>
    <row r="10" spans="1:17" s="11" customFormat="1" ht="81" customHeight="1" x14ac:dyDescent="0.4">
      <c r="A10" s="7" t="s">
        <v>53</v>
      </c>
      <c r="B10" s="7" t="s">
        <v>53</v>
      </c>
      <c r="C10" s="14" t="s">
        <v>57</v>
      </c>
      <c r="D10" s="14" t="s">
        <v>58</v>
      </c>
      <c r="E10" s="7">
        <f>LEN(D10)</f>
        <v>159</v>
      </c>
      <c r="F10" s="6" t="s">
        <v>17</v>
      </c>
      <c r="G10" s="8">
        <v>92676</v>
      </c>
      <c r="H10" s="9" t="s">
        <v>55</v>
      </c>
      <c r="I10" s="6" t="s">
        <v>54</v>
      </c>
      <c r="J10" s="7" t="s">
        <v>56</v>
      </c>
      <c r="K10" s="10">
        <v>45292</v>
      </c>
      <c r="L10" s="10">
        <v>410534</v>
      </c>
      <c r="M10" s="7" t="s">
        <v>20</v>
      </c>
      <c r="N10" s="7" t="s">
        <v>46</v>
      </c>
      <c r="O10" s="6" t="str">
        <f>I10</f>
        <v>Orange</v>
      </c>
      <c r="P10" s="6" t="s">
        <v>21</v>
      </c>
      <c r="Q10" s="6" t="str">
        <f>N10</f>
        <v>Caves</v>
      </c>
    </row>
    <row r="11" spans="1:17" s="11" customFormat="1" ht="29" customHeight="1" x14ac:dyDescent="0.4">
      <c r="A11" s="7"/>
      <c r="B11" s="7"/>
      <c r="C11" s="14"/>
      <c r="D11" s="14"/>
      <c r="E11" s="7"/>
      <c r="F11" s="6"/>
      <c r="G11" s="8"/>
      <c r="H11" s="9"/>
      <c r="I11" s="6"/>
      <c r="J11" s="7"/>
      <c r="K11" s="10"/>
      <c r="L11" s="10"/>
      <c r="M11" s="7"/>
      <c r="N11" s="7"/>
      <c r="O11" s="6"/>
      <c r="P11" s="6"/>
      <c r="Q11" s="6"/>
    </row>
    <row r="12" spans="1:17" s="11" customFormat="1" ht="29" customHeight="1" x14ac:dyDescent="0.4">
      <c r="A12" s="7"/>
      <c r="B12" s="7"/>
      <c r="C12" s="14"/>
      <c r="D12" s="14"/>
      <c r="E12" s="7"/>
      <c r="F12" s="6"/>
      <c r="G12" s="8"/>
      <c r="H12" s="9"/>
      <c r="I12" s="6"/>
      <c r="J12" s="7"/>
      <c r="K12" s="10"/>
      <c r="L12" s="10"/>
      <c r="M12" s="7"/>
      <c r="N12" s="7"/>
      <c r="O12" s="6"/>
      <c r="P12" s="6"/>
      <c r="Q12" s="6"/>
    </row>
    <row r="13" spans="1:17" ht="29" customHeight="1" x14ac:dyDescent="0.4">
      <c r="A13" s="7"/>
      <c r="B13" s="12"/>
      <c r="C13" s="12"/>
      <c r="D13" s="12"/>
      <c r="E13" s="12"/>
      <c r="F13" s="12"/>
      <c r="G13" s="12"/>
      <c r="H13" s="12"/>
      <c r="I13" s="12"/>
      <c r="J13" s="12"/>
      <c r="K13" s="13"/>
      <c r="L13" s="13"/>
      <c r="M13" s="12"/>
      <c r="N13" s="12"/>
      <c r="O13" s="12"/>
      <c r="P13" s="12"/>
      <c r="Q13" s="12"/>
    </row>
    <row r="14" spans="1:17" ht="29" customHeight="1" x14ac:dyDescent="0.4">
      <c r="A14" s="7"/>
      <c r="B14" s="12"/>
      <c r="C14" s="12"/>
      <c r="D14" s="12"/>
      <c r="E14" s="12"/>
      <c r="F14" s="12"/>
      <c r="G14" s="12"/>
      <c r="H14" s="12"/>
      <c r="I14" s="12"/>
      <c r="J14" s="12"/>
      <c r="K14" s="13"/>
      <c r="L14" s="13"/>
      <c r="M14" s="12"/>
      <c r="N14" s="12"/>
      <c r="O14" s="12"/>
      <c r="P14" s="12"/>
      <c r="Q14" s="12"/>
    </row>
    <row r="15" spans="1:17" ht="29" customHeight="1" x14ac:dyDescent="0.4">
      <c r="A15" s="7"/>
      <c r="B15" s="12"/>
      <c r="C15" s="12"/>
      <c r="D15" s="12"/>
      <c r="E15" s="12"/>
      <c r="F15" s="12"/>
      <c r="G15" s="12"/>
      <c r="H15" s="12"/>
      <c r="I15" s="12"/>
      <c r="J15" s="12"/>
      <c r="K15" s="13"/>
      <c r="L15" s="13"/>
      <c r="M15" s="12"/>
      <c r="N15" s="12"/>
      <c r="O15" s="12"/>
      <c r="P15" s="12"/>
      <c r="Q15" s="12"/>
    </row>
    <row r="16" spans="1:17" ht="17" x14ac:dyDescent="0.4">
      <c r="A16" s="7"/>
      <c r="B16" s="12"/>
      <c r="C16" s="12"/>
      <c r="D16" s="12"/>
      <c r="E16" s="12"/>
      <c r="F16" s="12"/>
      <c r="G16" s="12"/>
      <c r="H16" s="12"/>
      <c r="I16" s="12"/>
      <c r="J16" s="12"/>
      <c r="K16" s="13"/>
      <c r="L16" s="13"/>
      <c r="M16" s="12"/>
      <c r="N16" s="12"/>
      <c r="O16" s="12"/>
      <c r="P16" s="12"/>
      <c r="Q16" s="12"/>
    </row>
    <row r="17" spans="1:17" ht="17" x14ac:dyDescent="0.4">
      <c r="A17" s="7"/>
      <c r="B17" s="12"/>
      <c r="C17" s="12"/>
      <c r="D17" s="12"/>
      <c r="E17" s="12"/>
      <c r="F17" s="12"/>
      <c r="G17" s="12"/>
      <c r="H17" s="12"/>
      <c r="I17" s="12"/>
      <c r="J17" s="12"/>
      <c r="K17" s="13"/>
      <c r="L17" s="13"/>
      <c r="M17" s="12"/>
      <c r="N17" s="12"/>
      <c r="O17" s="12"/>
      <c r="P17" s="12"/>
      <c r="Q17" s="12"/>
    </row>
    <row r="18" spans="1:17" ht="17" x14ac:dyDescent="0.4">
      <c r="A18" s="7"/>
      <c r="B18" s="12"/>
      <c r="C18" s="12"/>
      <c r="D18" s="12"/>
      <c r="E18" s="12"/>
      <c r="F18" s="12"/>
      <c r="G18" s="12"/>
      <c r="H18" s="12"/>
      <c r="I18" s="12"/>
      <c r="J18" s="12"/>
      <c r="K18" s="13"/>
      <c r="L18" s="13"/>
      <c r="M18" s="12"/>
      <c r="N18" s="12"/>
      <c r="O18" s="12"/>
      <c r="P18" s="12"/>
      <c r="Q18" s="12"/>
    </row>
    <row r="19" spans="1:17" ht="17" x14ac:dyDescent="0.4">
      <c r="A19" s="7"/>
      <c r="B19" s="12"/>
      <c r="C19" s="12"/>
      <c r="D19" s="12"/>
      <c r="E19" s="12"/>
      <c r="F19" s="12"/>
      <c r="G19" s="12"/>
      <c r="H19" s="12"/>
      <c r="I19" s="12"/>
      <c r="J19" s="12"/>
      <c r="K19" s="13"/>
      <c r="L19" s="13"/>
      <c r="M19" s="12"/>
      <c r="N19" s="12"/>
      <c r="O19" s="12"/>
      <c r="P19" s="12"/>
      <c r="Q19" s="12"/>
    </row>
    <row r="20" spans="1:17" ht="17" x14ac:dyDescent="0.4">
      <c r="A20" s="7"/>
      <c r="B20" s="12"/>
      <c r="C20" s="12"/>
      <c r="D20" s="12"/>
      <c r="E20" s="12"/>
      <c r="F20" s="12"/>
      <c r="G20" s="12"/>
      <c r="H20" s="12"/>
      <c r="I20" s="12"/>
      <c r="J20" s="12"/>
      <c r="K20" s="13"/>
      <c r="L20" s="13"/>
      <c r="M20" s="12"/>
      <c r="N20" s="12"/>
      <c r="O20" s="12"/>
      <c r="P20" s="12"/>
      <c r="Q20" s="12"/>
    </row>
    <row r="21" spans="1:17" ht="17" x14ac:dyDescent="0.4">
      <c r="A21" s="7"/>
      <c r="B21" s="12"/>
      <c r="C21" s="12"/>
      <c r="D21" s="12"/>
      <c r="E21" s="12"/>
      <c r="F21" s="12"/>
      <c r="G21" s="12"/>
      <c r="H21" s="12"/>
      <c r="I21" s="12"/>
      <c r="J21" s="12"/>
      <c r="K21" s="13"/>
      <c r="L21" s="13"/>
      <c r="M21" s="12"/>
      <c r="N21" s="12"/>
      <c r="O21" s="12"/>
      <c r="P21" s="12"/>
      <c r="Q21" s="12"/>
    </row>
    <row r="22" spans="1:17" ht="17" x14ac:dyDescent="0.4">
      <c r="A22" s="7"/>
      <c r="B22" s="12"/>
      <c r="C22" s="12"/>
      <c r="D22" s="12"/>
      <c r="E22" s="12"/>
      <c r="F22" s="12"/>
      <c r="G22" s="12"/>
      <c r="H22" s="12"/>
      <c r="I22" s="12"/>
      <c r="J22" s="12"/>
      <c r="K22" s="13"/>
      <c r="L22" s="13"/>
      <c r="M22" s="12"/>
      <c r="N22" s="12"/>
      <c r="O22" s="12"/>
      <c r="P22" s="12"/>
      <c r="Q22" s="12"/>
    </row>
    <row r="23" spans="1:17" ht="17" x14ac:dyDescent="0.4">
      <c r="A23" s="7"/>
      <c r="B23" s="12"/>
      <c r="C23" s="12"/>
      <c r="D23" s="12"/>
      <c r="E23" s="12"/>
      <c r="F23" s="12"/>
      <c r="G23" s="12"/>
      <c r="H23" s="12"/>
      <c r="I23" s="12"/>
      <c r="J23" s="12"/>
      <c r="K23" s="13"/>
      <c r="L23" s="13"/>
      <c r="M23" s="12"/>
      <c r="N23" s="12"/>
      <c r="O23" s="12"/>
      <c r="P23" s="12"/>
      <c r="Q23" s="12"/>
    </row>
    <row r="24" spans="1:17" ht="17" x14ac:dyDescent="0.4">
      <c r="A24" s="7"/>
      <c r="B24" s="12"/>
      <c r="C24" s="12"/>
      <c r="D24" s="12"/>
      <c r="E24" s="12"/>
      <c r="F24" s="12"/>
      <c r="G24" s="12"/>
      <c r="H24" s="12"/>
      <c r="I24" s="12"/>
      <c r="J24" s="12"/>
      <c r="K24" s="13"/>
      <c r="L24" s="13"/>
      <c r="M24" s="12"/>
      <c r="N24" s="12"/>
      <c r="O24" s="12"/>
      <c r="P24" s="12"/>
      <c r="Q24" s="12"/>
    </row>
    <row r="25" spans="1:17" ht="17" x14ac:dyDescent="0.4">
      <c r="A25" s="7"/>
      <c r="B25" s="12"/>
      <c r="C25" s="12"/>
      <c r="D25" s="12"/>
      <c r="E25" s="12"/>
      <c r="F25" s="12"/>
      <c r="G25" s="12"/>
      <c r="H25" s="12"/>
      <c r="I25" s="12"/>
      <c r="J25" s="12"/>
      <c r="K25" s="13"/>
      <c r="L25" s="13"/>
      <c r="M25" s="12"/>
      <c r="N25" s="12"/>
      <c r="O25" s="12"/>
      <c r="P25" s="12"/>
      <c r="Q25" s="12"/>
    </row>
    <row r="26" spans="1:17" ht="17" x14ac:dyDescent="0.4">
      <c r="A26" s="7"/>
      <c r="B26" s="12"/>
      <c r="C26" s="12"/>
      <c r="D26" s="12"/>
      <c r="E26" s="12"/>
      <c r="F26" s="12"/>
      <c r="G26" s="12"/>
      <c r="H26" s="12"/>
      <c r="I26" s="12"/>
      <c r="J26" s="12"/>
      <c r="K26" s="13"/>
      <c r="L26" s="13"/>
      <c r="M26" s="12"/>
      <c r="N26" s="12"/>
      <c r="O26" s="12"/>
      <c r="P26" s="12"/>
      <c r="Q26" s="12"/>
    </row>
    <row r="27" spans="1:17" ht="17" x14ac:dyDescent="0.4">
      <c r="A27" s="7"/>
      <c r="B27" s="12"/>
      <c r="C27" s="12"/>
      <c r="D27" s="12"/>
      <c r="E27" s="12"/>
      <c r="F27" s="12"/>
      <c r="G27" s="12"/>
      <c r="H27" s="12"/>
      <c r="I27" s="12"/>
      <c r="J27" s="12"/>
      <c r="K27" s="13"/>
      <c r="L27" s="13"/>
      <c r="M27" s="12"/>
      <c r="N27" s="12"/>
      <c r="O27" s="12"/>
      <c r="P27" s="12"/>
      <c r="Q27" s="12"/>
    </row>
    <row r="28" spans="1:17" ht="17" x14ac:dyDescent="0.4">
      <c r="A28" s="7"/>
      <c r="B28" s="12"/>
      <c r="C28" s="12"/>
      <c r="D28" s="12"/>
      <c r="E28" s="12"/>
      <c r="F28" s="12"/>
      <c r="G28" s="12"/>
      <c r="H28" s="12"/>
      <c r="I28" s="12"/>
      <c r="J28" s="12"/>
      <c r="K28" s="13"/>
      <c r="L28" s="13"/>
      <c r="M28" s="12"/>
      <c r="N28" s="12"/>
      <c r="O28" s="12"/>
      <c r="P28" s="12"/>
      <c r="Q28" s="12"/>
    </row>
    <row r="29" spans="1:17" ht="17" x14ac:dyDescent="0.4">
      <c r="A29" s="7"/>
      <c r="B29" s="12"/>
      <c r="C29" s="12"/>
      <c r="D29" s="12"/>
      <c r="E29" s="12"/>
      <c r="F29" s="12"/>
      <c r="G29" s="12"/>
      <c r="H29" s="12"/>
      <c r="I29" s="12"/>
      <c r="J29" s="12"/>
      <c r="K29" s="13"/>
      <c r="L29" s="13"/>
      <c r="M29" s="12"/>
      <c r="N29" s="12"/>
      <c r="O29" s="12"/>
      <c r="P29" s="12"/>
      <c r="Q29" s="12"/>
    </row>
    <row r="30" spans="1:17" ht="17" x14ac:dyDescent="0.4">
      <c r="A30" s="7"/>
      <c r="B30" s="12"/>
      <c r="C30" s="12"/>
      <c r="D30" s="12"/>
      <c r="E30" s="12"/>
      <c r="F30" s="12"/>
      <c r="G30" s="12"/>
      <c r="H30" s="12"/>
      <c r="I30" s="12"/>
      <c r="J30" s="12"/>
      <c r="K30" s="13"/>
      <c r="L30" s="13"/>
      <c r="M30" s="12"/>
      <c r="N30" s="12"/>
      <c r="O30" s="12"/>
      <c r="P30" s="12"/>
      <c r="Q30" s="12"/>
    </row>
    <row r="31" spans="1:17" ht="17" x14ac:dyDescent="0.4">
      <c r="A31" s="7"/>
      <c r="B31" s="12"/>
      <c r="C31" s="12"/>
      <c r="D31" s="12"/>
      <c r="E31" s="12"/>
      <c r="F31" s="12"/>
      <c r="G31" s="12"/>
      <c r="H31" s="12"/>
      <c r="I31" s="12"/>
      <c r="J31" s="12"/>
      <c r="K31" s="13"/>
      <c r="L31" s="13"/>
      <c r="M31" s="12"/>
      <c r="N31" s="12"/>
      <c r="O31" s="12"/>
      <c r="P31" s="12"/>
      <c r="Q31" s="12"/>
    </row>
    <row r="32" spans="1:17" ht="17" x14ac:dyDescent="0.4">
      <c r="A32" s="7"/>
      <c r="B32" s="12"/>
      <c r="C32" s="12"/>
      <c r="D32" s="12"/>
      <c r="E32" s="12"/>
      <c r="F32" s="12"/>
      <c r="G32" s="12"/>
      <c r="H32" s="12"/>
      <c r="I32" s="12"/>
      <c r="J32" s="12"/>
      <c r="K32" s="13"/>
      <c r="L32" s="13"/>
      <c r="M32" s="12"/>
      <c r="N32" s="12"/>
      <c r="O32" s="12"/>
      <c r="P32" s="12"/>
      <c r="Q32" s="12"/>
    </row>
    <row r="33" spans="1:17" ht="17" x14ac:dyDescent="0.4">
      <c r="A33" s="7"/>
      <c r="B33" s="12"/>
      <c r="C33" s="12"/>
      <c r="D33" s="12"/>
      <c r="E33" s="12"/>
      <c r="F33" s="12"/>
      <c r="G33" s="12"/>
      <c r="H33" s="12"/>
      <c r="I33" s="12"/>
      <c r="J33" s="12"/>
      <c r="K33" s="13"/>
      <c r="L33" s="13"/>
      <c r="M33" s="12"/>
      <c r="N33" s="12"/>
      <c r="O33" s="12"/>
      <c r="P33" s="12"/>
      <c r="Q33" s="12"/>
    </row>
    <row r="34" spans="1:17" ht="17" x14ac:dyDescent="0.4">
      <c r="A34" s="7"/>
      <c r="B34" s="12"/>
      <c r="C34" s="12"/>
      <c r="D34" s="12"/>
      <c r="E34" s="12"/>
      <c r="F34" s="12"/>
      <c r="G34" s="12"/>
      <c r="H34" s="12"/>
      <c r="I34" s="12"/>
      <c r="J34" s="12"/>
      <c r="K34" s="13"/>
      <c r="L34" s="13"/>
      <c r="M34" s="12"/>
      <c r="N34" s="12"/>
      <c r="O34" s="12"/>
      <c r="P34" s="12"/>
      <c r="Q34" s="12"/>
    </row>
    <row r="35" spans="1:17" ht="17" x14ac:dyDescent="0.4">
      <c r="A35" s="7"/>
      <c r="B35" s="12"/>
      <c r="C35" s="12"/>
      <c r="D35" s="12"/>
      <c r="E35" s="12"/>
      <c r="F35" s="12"/>
      <c r="G35" s="12"/>
      <c r="H35" s="12"/>
      <c r="I35" s="12"/>
      <c r="J35" s="12"/>
      <c r="K35" s="13"/>
      <c r="L35" s="13"/>
      <c r="M35" s="12"/>
      <c r="N35" s="12"/>
      <c r="O35" s="12"/>
      <c r="P35" s="12"/>
      <c r="Q35" s="12"/>
    </row>
    <row r="36" spans="1:17" ht="17" x14ac:dyDescent="0.4">
      <c r="A36" s="7"/>
      <c r="B36" s="12"/>
      <c r="C36" s="12"/>
      <c r="D36" s="12"/>
      <c r="E36" s="12"/>
      <c r="F36" s="12"/>
      <c r="G36" s="12"/>
      <c r="H36" s="12"/>
      <c r="I36" s="12"/>
      <c r="J36" s="12"/>
      <c r="K36" s="13"/>
      <c r="L36" s="13"/>
      <c r="M36" s="12"/>
      <c r="N36" s="12"/>
      <c r="O36" s="12"/>
      <c r="P36" s="12"/>
      <c r="Q36" s="12"/>
    </row>
    <row r="37" spans="1:17" ht="17" x14ac:dyDescent="0.4">
      <c r="A37" s="7"/>
      <c r="B37" s="12"/>
      <c r="C37" s="12"/>
      <c r="D37" s="12"/>
      <c r="E37" s="12"/>
      <c r="F37" s="12"/>
      <c r="G37" s="12"/>
      <c r="H37" s="12"/>
      <c r="I37" s="12"/>
      <c r="J37" s="12"/>
      <c r="K37" s="13"/>
      <c r="L37" s="13"/>
      <c r="M37" s="12"/>
      <c r="N37" s="12"/>
      <c r="O37" s="12"/>
      <c r="P37" s="12"/>
      <c r="Q37" s="12"/>
    </row>
    <row r="38" spans="1:17" ht="17" x14ac:dyDescent="0.4">
      <c r="A38" s="7"/>
      <c r="B38" s="12"/>
      <c r="C38" s="12"/>
      <c r="D38" s="12"/>
      <c r="E38" s="12"/>
      <c r="F38" s="12"/>
      <c r="G38" s="12"/>
      <c r="H38" s="12"/>
      <c r="I38" s="12"/>
      <c r="J38" s="12"/>
      <c r="K38" s="13"/>
      <c r="L38" s="13"/>
      <c r="M38" s="12"/>
      <c r="N38" s="12"/>
      <c r="O38" s="12"/>
      <c r="P38" s="12"/>
      <c r="Q38" s="12"/>
    </row>
    <row r="39" spans="1:17" ht="17" x14ac:dyDescent="0.4">
      <c r="A39" s="7"/>
      <c r="B39" s="12"/>
      <c r="C39" s="12"/>
      <c r="D39" s="12"/>
      <c r="E39" s="12"/>
      <c r="F39" s="12"/>
      <c r="G39" s="12"/>
      <c r="H39" s="12"/>
      <c r="I39" s="12"/>
      <c r="J39" s="12"/>
      <c r="K39" s="13"/>
      <c r="L39" s="13"/>
      <c r="M39" s="12"/>
      <c r="N39" s="12"/>
      <c r="O39" s="12"/>
      <c r="P39" s="12"/>
      <c r="Q39" s="12"/>
    </row>
    <row r="40" spans="1:17" ht="17" x14ac:dyDescent="0.4">
      <c r="A40" s="7"/>
      <c r="B40" s="12"/>
      <c r="C40" s="12"/>
      <c r="D40" s="12"/>
      <c r="E40" s="12"/>
      <c r="F40" s="12"/>
      <c r="G40" s="12"/>
      <c r="H40" s="12"/>
      <c r="I40" s="12"/>
      <c r="J40" s="12"/>
      <c r="K40" s="13"/>
      <c r="L40" s="13"/>
      <c r="M40" s="12"/>
      <c r="N40" s="12"/>
      <c r="O40" s="12"/>
      <c r="P40" s="12"/>
      <c r="Q40" s="12"/>
    </row>
    <row r="41" spans="1:17" ht="17" x14ac:dyDescent="0.4">
      <c r="A41" s="7"/>
      <c r="B41" s="12"/>
      <c r="C41" s="12"/>
      <c r="D41" s="12"/>
      <c r="E41" s="12"/>
      <c r="F41" s="12"/>
      <c r="G41" s="12"/>
      <c r="H41" s="12"/>
      <c r="I41" s="12"/>
      <c r="J41" s="12"/>
      <c r="K41" s="13"/>
      <c r="L41" s="13"/>
      <c r="M41" s="12"/>
      <c r="N41" s="12"/>
      <c r="O41" s="12"/>
      <c r="P41" s="12"/>
      <c r="Q41" s="12"/>
    </row>
    <row r="42" spans="1:17" ht="17" x14ac:dyDescent="0.4">
      <c r="A42" s="7"/>
      <c r="B42" s="12"/>
      <c r="C42" s="12"/>
      <c r="D42" s="12"/>
      <c r="E42" s="12"/>
      <c r="F42" s="12"/>
      <c r="G42" s="12"/>
      <c r="H42" s="12"/>
      <c r="I42" s="12"/>
      <c r="J42" s="12"/>
      <c r="K42" s="13"/>
      <c r="L42" s="13"/>
      <c r="M42" s="12"/>
      <c r="N42" s="12"/>
      <c r="O42" s="12"/>
      <c r="P42" s="12"/>
      <c r="Q42" s="12"/>
    </row>
    <row r="43" spans="1:17" x14ac:dyDescent="0.35">
      <c r="A43" s="12"/>
      <c r="B43" s="12"/>
      <c r="C43" s="12"/>
      <c r="D43" s="12"/>
      <c r="E43" s="12"/>
      <c r="F43" s="12"/>
      <c r="G43" s="12"/>
      <c r="H43" s="12"/>
      <c r="I43" s="12"/>
      <c r="J43" s="12"/>
      <c r="K43" s="13"/>
      <c r="L43" s="13"/>
      <c r="M43" s="12"/>
      <c r="N43" s="12"/>
      <c r="O43" s="12"/>
      <c r="P43" s="12"/>
      <c r="Q43" s="12"/>
    </row>
    <row r="44" spans="1:17" x14ac:dyDescent="0.35">
      <c r="A44" s="12"/>
      <c r="B44" s="12"/>
      <c r="C44" s="12"/>
      <c r="D44" s="12"/>
      <c r="E44" s="12"/>
      <c r="F44" s="12"/>
      <c r="G44" s="12"/>
      <c r="H44" s="12"/>
      <c r="I44" s="12"/>
      <c r="J44" s="12"/>
      <c r="K44" s="13"/>
      <c r="L44" s="13"/>
      <c r="M44" s="12"/>
      <c r="N44" s="12"/>
      <c r="O44" s="12"/>
      <c r="P44" s="12"/>
      <c r="Q44" s="12"/>
    </row>
    <row r="45" spans="1:17" x14ac:dyDescent="0.35">
      <c r="A45" s="12"/>
      <c r="B45" s="12"/>
      <c r="C45" s="12"/>
      <c r="D45" s="12"/>
      <c r="E45" s="12"/>
      <c r="F45" s="12"/>
      <c r="G45" s="12"/>
      <c r="H45" s="12"/>
      <c r="I45" s="12"/>
      <c r="J45" s="12"/>
      <c r="K45" s="13"/>
      <c r="L45" s="13"/>
      <c r="M45" s="12"/>
      <c r="N45" s="12"/>
      <c r="O45" s="12"/>
      <c r="P45" s="12"/>
      <c r="Q45" s="12"/>
    </row>
  </sheetData>
  <autoFilter ref="A1:Q1" xr:uid="{63DA3E44-3605-449C-AE11-8D4FB01A0BBE}">
    <sortState xmlns:xlrd2="http://schemas.microsoft.com/office/spreadsheetml/2017/richdata2" ref="A2:Q10">
      <sortCondition ref="B1"/>
    </sortState>
  </autoFilter>
  <phoneticPr fontId="6"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Caves</vt:lpstr>
      <vt:lpstr>Caves!Print_Area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2024-08-09T21:57:46Z</dcterms:modified>
</cp:coreProperties>
</file>