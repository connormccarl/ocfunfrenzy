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5" documentId="8_{28C1D2C4-8BF9-492A-8A77-72279C4417D6}" xr6:coauthVersionLast="47" xr6:coauthVersionMax="47" xr10:uidLastSave="{6EE29DF4-6CE4-4023-B95A-116EA3468BFC}"/>
  <bookViews>
    <workbookView xWindow="-110" yWindow="-110" windowWidth="19420" windowHeight="11500" xr2:uid="{3F4AF157-4EA4-44F9-9369-4ED39BF1C451}"/>
  </bookViews>
  <sheets>
    <sheet name="Misc" sheetId="2" r:id="rId1"/>
  </sheets>
  <definedNames>
    <definedName name="_xlnm._FilterDatabase" localSheetId="0" hidden="1">Misc!$A$1:$Q$7</definedName>
    <definedName name="_xlnm.Print_Area" localSheetId="0">Misc!$A$1:$B$6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2" l="1"/>
  <c r="O6" i="2"/>
  <c r="E6" i="2"/>
  <c r="Q7" i="2"/>
  <c r="O7" i="2"/>
  <c r="E7" i="2"/>
  <c r="Q3" i="2"/>
  <c r="Q2" i="2"/>
  <c r="Q5" i="2"/>
  <c r="Q4" i="2"/>
  <c r="O3" i="2"/>
  <c r="O2" i="2"/>
  <c r="O5" i="2"/>
  <c r="O4" i="2"/>
  <c r="E3" i="2"/>
  <c r="E2" i="2"/>
  <c r="E5" i="2"/>
  <c r="E4" i="2"/>
</calcChain>
</file>

<file path=xl/sharedStrings.xml><?xml version="1.0" encoding="utf-8"?>
<sst xmlns="http://schemas.openxmlformats.org/spreadsheetml/2006/main" count="83" uniqueCount="60">
  <si>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</si>
  <si>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</si>
  <si>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</si>
  <si>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</si>
  <si>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</si>
  <si>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</si>
  <si>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</si>
  <si>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</si>
  <si>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</si>
  <si>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</si>
  <si>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</si>
  <si>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</si>
  <si>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</si>
  <si>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</si>
  <si>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</si>
  <si>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</si>
  <si>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Bingo</t>
  </si>
  <si>
    <t xml:space="preserve">Family  </t>
  </si>
  <si>
    <t>Orange County, CA</t>
  </si>
  <si>
    <t>https://artmasterclass.com/products/mosaic-classes-orange-county</t>
  </si>
  <si>
    <t xml:space="preserve">1652 Edinger Ave Suite A, Tustin, CA </t>
  </si>
  <si>
    <t>Mosaic Lamp Making</t>
  </si>
  <si>
    <t>Join us for a one-of-a-kind opportunity to craft your own Mosaic Lamp in just 2.5 hours. Unleash your creativity and immerse yourself in the beauty of Turkish mosaic art by attending our enchanting art classes.</t>
  </si>
  <si>
    <t>Join us for a one-of-a-kind opportunity to craft your own Mosaic Lamp in just 2.5 hours. Unleash your creativity &amp; immerse yourself in the beauty.</t>
  </si>
  <si>
    <t>Mosaic</t>
  </si>
  <si>
    <t>Solo, group</t>
  </si>
  <si>
    <t>Group</t>
  </si>
  <si>
    <t>Solo</t>
  </si>
  <si>
    <t>Solo, group, date</t>
  </si>
  <si>
    <t>https://www.pinotspalette.com/tustin</t>
  </si>
  <si>
    <t xml:space="preserve">2479 Park Ave, Tustin, CA </t>
  </si>
  <si>
    <t>Paint &amp; Sip</t>
  </si>
  <si>
    <t>Orange County's favorite night out! Join us for an evening of friends, fun, wine, and painting at our studio in Tustin! Google for more options.</t>
  </si>
  <si>
    <t>Paint</t>
  </si>
  <si>
    <t>https://mvelks.com/bingo/</t>
  </si>
  <si>
    <t>Chair champs</t>
  </si>
  <si>
    <t>Join us for Bingo at the Elks Lodge in Mission Viejo, on Wednesdays from 3-10pm. Proceeds from bingo benefit the Purple Pig, Elks National Foundation and many other charities we support throughout the Lodge.</t>
  </si>
  <si>
    <t xml:space="preserve">Join us for Bingo at the Elks Lodge in Mission Viejo, on Wednesdays from 3-10pm. </t>
  </si>
  <si>
    <t>25092 Marguerite Pkwy, Mission Viejo, CA</t>
  </si>
  <si>
    <t>https://www.coastal.ca.gov/access/beach-wheelchairs.html</t>
  </si>
  <si>
    <t>Family</t>
  </si>
  <si>
    <t>Beach wheel</t>
  </si>
  <si>
    <t>Beach Wheelchairs</t>
  </si>
  <si>
    <r>
      <t>Beach Wheelchairs</t>
    </r>
    <r>
      <rPr>
        <sz val="8"/>
        <color rgb="FF444444"/>
        <rFont val="Arial"/>
        <family val="2"/>
      </rPr>
      <t> are equipped with large, wide wheels which can roll across the sand without sinking. They usually require users to be accompanied by someone pushing them, although several California locations offer motorized chairs which may be self-propelled.</t>
    </r>
  </si>
  <si>
    <r>
      <t>Beach Wheelchairs</t>
    </r>
    <r>
      <rPr>
        <sz val="8"/>
        <color rgb="FF444444"/>
        <rFont val="Arial"/>
        <family val="2"/>
      </rPr>
      <t xml:space="preserve"> are equipped with large, wide wheels which can roll across the sand without sinking, so you can take your loved one on the beach. </t>
    </r>
  </si>
  <si>
    <t>https://www.nbbikerentals.com/</t>
  </si>
  <si>
    <t>Mobility Scooter</t>
  </si>
  <si>
    <t>A ADA mobility scooter can get you out by the beach and enjoy the fun!</t>
  </si>
  <si>
    <t xml:space="preserve">309 Palm St. #102, Newport Beach, CA </t>
  </si>
  <si>
    <t>Mobility</t>
  </si>
  <si>
    <t>https://meeplesfamily.com/</t>
  </si>
  <si>
    <t>Board</t>
  </si>
  <si>
    <t>Family, group</t>
  </si>
  <si>
    <t xml:space="preserve">321 W. Katella Ave. #160 Anaheim, CA </t>
  </si>
  <si>
    <t>Meeples Family is a board game cafe located at GardenWalk in the city of Anaheim. We have approximately 2,000 games in our game library, and the list is still growing! Whether you are a party game person, a card game enthusiast, an Euro style strategy board gamer, or an explorer, you are sure to find something you love from our game library. Our private tents can sit up to 6 people at a time with 1-hour block of play time.</t>
  </si>
  <si>
    <t xml:space="preserve">Meeples Family is a board game cafe - We have approximately 2,000 games in our game library, and the list is still growing! </t>
  </si>
  <si>
    <t>Board Game Café</t>
  </si>
  <si>
    <t>Craft</t>
  </si>
  <si>
    <t>Wheelchair</t>
  </si>
  <si>
    <t>Scooter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</si>
</sst>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14"/>
      <color theme="1"/>
      <name val="Aptos Narrow"/>
      <family val="2"/>
      <scheme val="minor"/>
    </font>
    <font>
      <sz val="9"/>
      <color rgb="FF000000"/>
      <name val="Open_sansregular"/>
    </font>
    <font>
      <sz val="8"/>
      <color theme="1"/>
      <name val="Arial"/>
      <family val="2"/>
    </font>
    <font>
      <sz val="8"/>
      <name val="Arial"/>
      <family val="2"/>
    </font>
    <font>
      <sz val="8"/>
      <color rgb="FF000000"/>
      <name val="Arial"/>
      <family val="2"/>
    </font>
    <font>
      <sz val="8"/>
      <name val="Aptos Narrow"/>
      <family val="2"/>
      <scheme val="minor"/>
    </font>
    <font>
      <sz val="8"/>
      <color rgb="FF444444"/>
      <name val="Arial"/>
      <family val="2"/>
    </font>
  </fonts>
  <fills count="4">
    <fill>
      <patternFill patternType="none"/>
    </fill>
    <fill>
      <patternFill patternType="gray125"/>
    </fill>
    <fill>
      <patternFill patternType="solid">
        <fgColor theme="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2" fillId="2" borderId="1" xfId="0" applyFont="1" applyFill="1" applyBorder="1"/>
    <xf numFmtId="0" fontId="2" fillId="2" borderId="1" xfId="0" applyFont="1" applyFill="1" applyBorder="1" applyAlignment="1">
      <alignment wrapText="1"/>
    </xf>
    <xf numFmtId="0" fontId="2" fillId="2" borderId="1" xfId="0" applyFont="1" applyFill="1" applyBorder="1" applyAlignment="1">
      <alignment horizontal="left" wrapText="1"/>
    </xf>
    <xf numFmtId="0" fontId="2" fillId="2" borderId="1" xfId="0" applyFont="1" applyFill="1" applyBorder="1" applyAlignment="1">
      <alignment horizontal="left"/>
    </xf>
    <xf numFmtId="0" fontId="0" fillId="2" borderId="1" xfId="0" applyFill="1" applyBorder="1"/>
    <xf numFmtId="0" fontId="0" fillId="3" borderId="0" xfId="0" applyFill="1"/>
    <xf numFmtId="0" fontId="1" fillId="3" borderId="1" xfId="0" applyFont="1" applyFill="1" applyBorder="1" applyAlignment="1">
      <alignment horizontal="center"/>
    </xf>
    <xf numFmtId="0" fontId="0" fillId="2" borderId="0" xfId="0" applyFill="1"/>
    <xf numFmtId="0" fontId="5" fillId="2" borderId="1" xfId="0" applyFont="1" applyFill="1" applyBorder="1"/>
    <xf numFmtId="0" fontId="5" fillId="2" borderId="1" xfId="0" applyFont="1" applyFill="1" applyBorder="1" applyAlignment="1">
      <alignment wrapText="1"/>
    </xf>
    <xf numFmtId="0" fontId="6" fillId="2" borderId="1" xfId="0" applyFont="1" applyFill="1" applyBorder="1" applyAlignment="1">
      <alignment wrapText="1"/>
    </xf>
    <xf numFmtId="14" fontId="2" fillId="2" borderId="1" xfId="0" applyNumberFormat="1" applyFont="1" applyFill="1" applyBorder="1"/>
    <xf numFmtId="0" fontId="4" fillId="2" borderId="1" xfId="0" applyFont="1" applyFill="1" applyBorder="1" applyAlignment="1">
      <alignment wrapText="1"/>
    </xf>
    <xf numFmtId="0" fontId="4" fillId="2" borderId="1" xfId="0" applyFont="1" applyFill="1" applyBorder="1"/>
    <xf numFmtId="0" fontId="8" fillId="2" borderId="1" xfId="0" applyFont="1" applyFill="1" applyBorder="1" applyAlignment="1">
      <alignment vertical="center" wrapText="1"/>
    </xf>
    <xf numFmtId="0" fontId="9" fillId="2" borderId="1" xfId="0" applyFont="1" applyFill="1" applyBorder="1" applyAlignment="1">
      <alignment vertical="center" wrapText="1"/>
    </xf>
    <xf numFmtId="0" fontId="7" fillId="2" borderId="1" xfId="0" applyFont="1" applyFill="1" applyBorder="1" applyAlignment="1">
      <alignment vertical="center" wrapText="1"/>
    </xf>
    <xf numFmtId="0" fontId="1" fillId="3" borderId="1" xfId="0" applyFont="1" applyFill="1" applyBorder="1" applyAlignment="1">
      <alignment horizontal="center" wrapText="1"/>
    </xf>
    <xf numFmtId="0" fontId="3"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9"/>
  <sheetViews>
    <sheetView tabSelected="1" zoomScale="80" zoomScaleNormal="80" workbookViewId="0">
      <selection activeCell="G9" sqref="G9"/>
    </sheetView>
  </sheetViews>
  <sheetFormatPr defaultRowHeight="14.5"/>
  <cols>
    <col min="1" max="1" width="40.6328125" style="8" customWidth="1"/>
    <col min="2" max="2" width="30.6328125" style="8" customWidth="1"/>
    <col min="3" max="3" width="37.81640625" style="8" customWidth="1"/>
    <col min="4" max="4" width="31" style="8" customWidth="1"/>
    <col min="5" max="5" width="6.7265625" style="8" customWidth="1"/>
    <col min="6" max="6" width="23.90625" style="8" customWidth="1"/>
    <col min="7" max="7" width="11.90625" style="8" customWidth="1"/>
    <col min="8" max="8" width="38.453125" style="8" customWidth="1"/>
    <col min="9" max="9" width="26" style="8" customWidth="1"/>
    <col min="10" max="10" width="40.6328125" style="8" customWidth="1"/>
    <col min="11" max="11" width="14" style="8" customWidth="1"/>
    <col min="12" max="12" width="13.08984375" style="8" customWidth="1"/>
    <col min="13" max="13" width="23" style="8" customWidth="1"/>
    <col min="14" max="14" width="19.26953125" style="8" customWidth="1"/>
    <col min="15" max="15" width="25.6328125" style="8" customWidth="1"/>
    <col min="16" max="16" width="22.453125" style="8" customWidth="1"/>
    <col min="17" max="17" width="19.81640625" style="8" customWidth="1"/>
    <col min="18" max="18" width="22.1796875" style="8" customWidth="1"/>
    <col min="19" max="16384" width="8.7265625" style="8"/>
  </cols>
  <sheetData>
    <row r="1" spans="1:17" s="6" customFormat="1" ht="34">
      <c r="A1" s="7" t="s">
        <v>0</v>
      </c>
      <c r="B1" s="7" t="s">
        <v>11</v>
      </c>
      <c r="C1" s="7" t="s">
        <v>12</v>
      </c>
      <c r="D1" s="18" t="s">
        <v>13</v>
      </c>
      <c r="E1" s="19" t="s">
        <v>14</v>
      </c>
      <c r="F1" s="7" t="s">
        <v>1</v>
      </c>
      <c r="G1" s="7" t="s">
        <v>2</v>
      </c>
      <c r="H1" s="7" t="s">
        <v>3</v>
      </c>
      <c r="I1" s="18" t="s">
        <v>10</v>
      </c>
      <c r="J1" s="7" t="s">
        <v>4</v>
      </c>
      <c r="K1" s="7" t="s">
        <v>5</v>
      </c>
      <c r="L1" s="7" t="s">
        <v>6</v>
      </c>
      <c r="M1" s="7" t="s">
        <v>7</v>
      </c>
      <c r="N1" s="7" t="s">
        <v>8</v>
      </c>
      <c r="O1" s="7" t="s">
        <v>9</v>
      </c>
      <c r="P1" s="18" t="s">
        <v>15</v>
      </c>
      <c r="Q1" s="7" t="s">
        <v>8</v>
      </c>
    </row>
    <row r="2" spans="1:17" ht="56.5" customHeight="1">
      <c r="A2" s="2" t="s">
        <v>42</v>
      </c>
      <c r="B2" s="2" t="s">
        <v>42</v>
      </c>
      <c r="C2" s="17" t="s">
        <v>43</v>
      </c>
      <c r="D2" s="17" t="s">
        <v>44</v>
      </c>
      <c r="E2" s="2">
        <f>LEN(D2)</f>
        <v>148</v>
      </c>
      <c r="F2" s="4" t="s">
        <v>58</v>
      </c>
      <c r="G2" s="3"/>
      <c r="H2" s="4" t="s">
        <v>18</v>
      </c>
      <c r="I2" s="1" t="s">
        <v>41</v>
      </c>
      <c r="J2" s="2" t="s">
        <v>39</v>
      </c>
      <c r="K2" s="12">
        <v>45292</v>
      </c>
      <c r="L2" s="12">
        <v>410534</v>
      </c>
      <c r="M2" s="2" t="s">
        <v>40</v>
      </c>
      <c r="N2" s="4" t="s">
        <v>35</v>
      </c>
      <c r="O2" s="1" t="str">
        <f>I2</f>
        <v>Beach wheel</v>
      </c>
      <c r="P2" s="1" t="s">
        <v>17</v>
      </c>
      <c r="Q2" s="1" t="str">
        <f>N2</f>
        <v>Chair champs</v>
      </c>
    </row>
    <row r="3" spans="1:17" ht="46" customHeight="1">
      <c r="A3" s="10" t="s">
        <v>16</v>
      </c>
      <c r="B3" s="10" t="s">
        <v>16</v>
      </c>
      <c r="C3" s="17" t="s">
        <v>36</v>
      </c>
      <c r="D3" s="17" t="s">
        <v>37</v>
      </c>
      <c r="E3" s="2">
        <f>LEN(D3)</f>
        <v>81</v>
      </c>
      <c r="F3" s="4" t="s">
        <v>16</v>
      </c>
      <c r="G3" s="4">
        <v>92692</v>
      </c>
      <c r="H3" s="13" t="s">
        <v>38</v>
      </c>
      <c r="I3" s="1" t="s">
        <v>16</v>
      </c>
      <c r="J3" s="2" t="s">
        <v>34</v>
      </c>
      <c r="K3" s="12">
        <v>45292</v>
      </c>
      <c r="L3" s="12">
        <v>410534</v>
      </c>
      <c r="M3" s="2" t="s">
        <v>28</v>
      </c>
      <c r="N3" s="4" t="s">
        <v>35</v>
      </c>
      <c r="O3" s="1" t="str">
        <f>I3</f>
        <v>Bingo</v>
      </c>
      <c r="P3" s="1" t="s">
        <v>27</v>
      </c>
      <c r="Q3" s="1" t="str">
        <f>N3</f>
        <v>Chair champs</v>
      </c>
    </row>
    <row r="4" spans="1:17" ht="55.5" customHeight="1">
      <c r="A4" s="2" t="s">
        <v>56</v>
      </c>
      <c r="B4" s="2" t="s">
        <v>56</v>
      </c>
      <c r="C4" s="11" t="s">
        <v>54</v>
      </c>
      <c r="D4" s="11" t="s">
        <v>55</v>
      </c>
      <c r="E4" s="2">
        <f>LEN(D4)</f>
        <v>124</v>
      </c>
      <c r="F4" s="4" t="s">
        <v>51</v>
      </c>
      <c r="G4" s="4">
        <v>92802</v>
      </c>
      <c r="H4" s="3" t="s">
        <v>53</v>
      </c>
      <c r="I4" s="4" t="s">
        <v>51</v>
      </c>
      <c r="J4" s="2" t="s">
        <v>50</v>
      </c>
      <c r="K4" s="12">
        <v>45292</v>
      </c>
      <c r="L4" s="12">
        <v>410534</v>
      </c>
      <c r="M4" s="2" t="s">
        <v>52</v>
      </c>
      <c r="N4" s="4" t="s">
        <v>35</v>
      </c>
      <c r="O4" s="1" t="str">
        <f>I4</f>
        <v>Board</v>
      </c>
      <c r="P4" s="1" t="s">
        <v>17</v>
      </c>
      <c r="Q4" s="1" t="str">
        <f>N4</f>
        <v>Chair champs</v>
      </c>
    </row>
    <row r="5" spans="1:17" ht="88.5" customHeight="1">
      <c r="A5" s="2" t="s">
        <v>46</v>
      </c>
      <c r="B5" s="2" t="s">
        <v>46</v>
      </c>
      <c r="C5" s="11" t="s">
        <v>47</v>
      </c>
      <c r="D5" s="11" t="s">
        <v>47</v>
      </c>
      <c r="E5" s="2">
        <f>LEN(D5)</f>
        <v>70</v>
      </c>
      <c r="F5" s="4" t="s">
        <v>59</v>
      </c>
      <c r="G5" s="4">
        <v>92661</v>
      </c>
      <c r="H5" s="13" t="s">
        <v>48</v>
      </c>
      <c r="I5" s="1" t="s">
        <v>49</v>
      </c>
      <c r="J5" s="2" t="s">
        <v>45</v>
      </c>
      <c r="K5" s="12">
        <v>45292</v>
      </c>
      <c r="L5" s="12">
        <v>410534</v>
      </c>
      <c r="M5" s="2" t="s">
        <v>40</v>
      </c>
      <c r="N5" s="4" t="s">
        <v>35</v>
      </c>
      <c r="O5" s="1" t="str">
        <f>I5</f>
        <v>Mobility</v>
      </c>
      <c r="P5" s="1" t="s">
        <v>17</v>
      </c>
      <c r="Q5" s="1" t="str">
        <f>N5</f>
        <v>Chair champs</v>
      </c>
    </row>
    <row r="6" spans="1:17" ht="40">
      <c r="A6" s="10" t="s">
        <v>21</v>
      </c>
      <c r="B6" s="10" t="s">
        <v>21</v>
      </c>
      <c r="C6" s="15" t="s">
        <v>22</v>
      </c>
      <c r="D6" s="15" t="s">
        <v>23</v>
      </c>
      <c r="E6" s="2">
        <f>LEN(D6)</f>
        <v>146</v>
      </c>
      <c r="F6" s="1" t="s">
        <v>57</v>
      </c>
      <c r="G6" s="4">
        <v>92780</v>
      </c>
      <c r="H6" s="14" t="s">
        <v>20</v>
      </c>
      <c r="I6" s="1" t="s">
        <v>24</v>
      </c>
      <c r="J6" s="2" t="s">
        <v>19</v>
      </c>
      <c r="K6" s="12">
        <v>45292</v>
      </c>
      <c r="L6" s="12">
        <v>410534</v>
      </c>
      <c r="M6" s="2" t="s">
        <v>25</v>
      </c>
      <c r="N6" s="1" t="s">
        <v>35</v>
      </c>
      <c r="O6" s="1" t="str">
        <f>I6</f>
        <v>Mosaic</v>
      </c>
      <c r="P6" s="1" t="s">
        <v>26</v>
      </c>
      <c r="Q6" s="1" t="str">
        <f>N6</f>
        <v>Chair champs</v>
      </c>
    </row>
    <row r="7" spans="1:17" ht="30">
      <c r="A7" s="2" t="s">
        <v>31</v>
      </c>
      <c r="B7" s="2" t="s">
        <v>31</v>
      </c>
      <c r="C7" s="16" t="s">
        <v>32</v>
      </c>
      <c r="D7" s="16" t="s">
        <v>32</v>
      </c>
      <c r="E7" s="2">
        <f>LEN(D7)</f>
        <v>144</v>
      </c>
      <c r="F7" s="1" t="s">
        <v>33</v>
      </c>
      <c r="G7" s="4">
        <v>92782</v>
      </c>
      <c r="H7" s="14" t="s">
        <v>30</v>
      </c>
      <c r="I7" s="1" t="s">
        <v>33</v>
      </c>
      <c r="J7" s="2" t="s">
        <v>29</v>
      </c>
      <c r="K7" s="12">
        <v>45292</v>
      </c>
      <c r="L7" s="12">
        <v>410534</v>
      </c>
      <c r="M7" s="2" t="s">
        <v>28</v>
      </c>
      <c r="N7" s="1" t="s">
        <v>35</v>
      </c>
      <c r="O7" s="1" t="str">
        <f>I7</f>
        <v>Paint</v>
      </c>
      <c r="P7" s="1" t="s">
        <v>26</v>
      </c>
      <c r="Q7" s="1" t="str">
        <f>N7</f>
        <v>Chair champs</v>
      </c>
    </row>
    <row r="8" spans="1:17" ht="18.5">
      <c r="A8" s="9"/>
      <c r="B8" s="5"/>
      <c r="C8" s="5"/>
      <c r="D8" s="5"/>
      <c r="E8" s="5"/>
      <c r="F8" s="5"/>
      <c r="G8" s="5"/>
      <c r="H8" s="5"/>
      <c r="I8" s="5"/>
      <c r="J8" s="5"/>
      <c r="K8" s="5"/>
      <c r="L8" s="5"/>
      <c r="M8" s="5"/>
      <c r="N8" s="5"/>
      <c r="O8" s="5"/>
      <c r="P8" s="5"/>
      <c r="Q8" s="5"/>
    </row>
    <row r="9" spans="1:17" ht="18.5">
      <c r="A9" s="9"/>
      <c r="B9" s="5"/>
      <c r="C9" s="5"/>
      <c r="D9" s="5"/>
      <c r="E9" s="5"/>
      <c r="F9" s="5"/>
      <c r="G9" s="5"/>
      <c r="H9" s="5"/>
      <c r="I9" s="5"/>
      <c r="J9" s="5"/>
      <c r="K9" s="5"/>
      <c r="L9" s="5"/>
      <c r="M9" s="5"/>
      <c r="N9" s="5"/>
      <c r="O9" s="5"/>
      <c r="P9" s="5"/>
      <c r="Q9" s="5"/>
    </row>
  </sheetData>
  <autoFilter ref="A1:Q7" xr:uid="{63DA3E44-3605-449C-AE11-8D4FB01A0BBE}">
    <sortState xmlns:xlrd2="http://schemas.microsoft.com/office/spreadsheetml/2017/richdata2" ref="A2:Q7">
      <sortCondition ref="B1:B7"/>
    </sortState>
  </autoFilter>
  <phoneticPr fontId="10" type="noConversion"/>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Misc</vt:lpstr>
      <vt:lpstr>Misc!Print_Area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2024-08-12T03:39:48Z</dcterms:modified>
</cp:coreProperties>
</file>