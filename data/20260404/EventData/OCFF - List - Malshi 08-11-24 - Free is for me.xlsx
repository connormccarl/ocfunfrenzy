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5" documentId="8_{28AD54B1-7EF4-4D28-9692-4C5D5341A179}" xr6:coauthVersionLast="47" xr6:coauthVersionMax="47" xr10:uidLastSave="{CA6CEBD3-3579-471D-8015-C1377C1BEA89}"/>
  <bookViews>
    <workbookView xWindow="-110" yWindow="-110" windowWidth="19420" windowHeight="11500" xr2:uid="{3F4AF157-4EA4-44F9-9369-4ED39BF1C451}"/>
  </bookViews>
  <sheets>
    <sheet name="Misc" sheetId="2" r:id="rId1"/>
  </sheets>
  <definedNames>
    <definedName name="_xlnm._FilterDatabase" localSheetId="0" hidden="1">Misc!$A$1:$Q$13</definedName>
    <definedName name="_xlnm.Print_Area" localSheetId="0">Misc!$A$1:$B$9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 i="2" l="1"/>
  <c r="O13" i="2"/>
  <c r="E13" i="2"/>
  <c r="Q10" i="2"/>
  <c r="O10" i="2"/>
  <c r="E10" i="2"/>
  <c r="Q5" i="2"/>
  <c r="O5" i="2"/>
  <c r="E5" i="2"/>
  <c r="Q4" i="2"/>
  <c r="O4" i="2"/>
  <c r="E4" i="2"/>
  <c r="Q2" i="2"/>
  <c r="O2" i="2"/>
  <c r="E2" i="2"/>
  <c r="Q12" i="2"/>
  <c r="O12" i="2"/>
  <c r="E12" i="2"/>
  <c r="Q3" i="2"/>
  <c r="O3" i="2"/>
  <c r="E3" i="2"/>
  <c r="Q8" i="2"/>
  <c r="O8" i="2"/>
  <c r="E8" i="2"/>
  <c r="Q9" i="2"/>
  <c r="O9" i="2"/>
  <c r="E9" i="2"/>
  <c r="Q11" i="2"/>
  <c r="O11" i="2"/>
  <c r="E11" i="2"/>
  <c r="Q7" i="2"/>
  <c r="Q6" i="2"/>
  <c r="O7" i="2"/>
  <c r="O6" i="2"/>
  <c r="E7" i="2"/>
  <c r="E6" i="2"/>
</calcChain>
</file>

<file path=xl/sharedStrings.xml><?xml version="1.0" encoding="utf-8"?>
<sst xmlns="http://schemas.openxmlformats.org/spreadsheetml/2006/main" count="148" uniqueCount="98">
  <si>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</si>
  <si>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</si>
  <si>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</si>
  <si>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</si>
  <si>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</si>
  <si>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</si>
  <si>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</si>
  <si>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</si>
  <si>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</si>
  <si>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</si>
  <si>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</si>
  <si>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</si>
  <si>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</si>
  <si>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</si>
  <si>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</si>
  <si>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</si>
  <si>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https://www.hbhistory.org/civilwar</t>
  </si>
  <si>
    <t>https://ocparks.com/news/oc-parks-presents-2024-summer-concert-series-and-sunset-cinema-film-series</t>
  </si>
  <si>
    <t>See bioluminescence</t>
  </si>
  <si>
    <t>Date, family, solo, group</t>
  </si>
  <si>
    <t xml:space="preserve">Family  </t>
  </si>
  <si>
    <t>https://lifeisgoodoc.com/2024/03/26/where-to-find-bioluminescence-in-orange-county/</t>
  </si>
  <si>
    <t>See</t>
  </si>
  <si>
    <t>Orange County, CA</t>
  </si>
  <si>
    <t>Have you stood by the ocean and been shocked to see waves rolling in in stunningly bright and glowing shades of green and blue? If so, you’ve witnessed the magic of bioluminescence! The beautiful bioluminescence in Orange County is a mesmerizing spectacle that captivates both locals and visitors alike. With this guide, you’ll be equipped to experience it with information on where to find it in Orange County, when to see it, and how to stay updated on its latest sightings.</t>
  </si>
  <si>
    <t>Bioluminescence in OC is a phenomenon where certain marine organisms of emit light through biochemical reactions within their bodies. </t>
  </si>
  <si>
    <t>Farmers Market</t>
  </si>
  <si>
    <t>Solo, group</t>
  </si>
  <si>
    <t>Group</t>
  </si>
  <si>
    <t>Solo</t>
  </si>
  <si>
    <t>Light Fencing</t>
  </si>
  <si>
    <t>https://www.meetup.com/eskrima/events/302398724/?recId=75a4a335-1d09-41bc-ac3a-445ccf813242&amp;recSource=keyword_search&amp;searchId=339352f2-0533-4973-8994-cc62de1f329c</t>
  </si>
  <si>
    <t>Light</t>
  </si>
  <si>
    <t xml:space="preserve">14301 Yale Ave, Irvine, CA </t>
  </si>
  <si>
    <t>Lightspeed Saber fencing every Sunday! Sunday night is beginner night, so come and check us out. Heritage Park Community Center, 14301 Yale Avenue, Irvine, CA 92620. Find us in the center between the tennis courts, softball fields and basketball courts.  Visit the official website of the league: https://www.LightspeedSaber.Com</t>
  </si>
  <si>
    <t xml:space="preserve">Lightspeed Saber fencing every Sunday! Sunday night is beginner night, so come and check us out. Heritage Park Community Center, Irvine, CA 92620. </t>
  </si>
  <si>
    <t>Solo, group, date</t>
  </si>
  <si>
    <t>https://www.orangecounty.net/html/shop-produce.html</t>
  </si>
  <si>
    <t>Farmers</t>
  </si>
  <si>
    <t>A farmers' market is a public gathering where farmers and their representatives sell their food directly to consumers. </t>
  </si>
  <si>
    <t>https://www.visitlongbeach.com/blog/fleet-week-on-the-battleship-iowa/</t>
  </si>
  <si>
    <t>Fleet Week</t>
  </si>
  <si>
    <t>LA Fleet Week, already the largest Memorial Day weekend event in Southern California, gets even bigger in 2024 as an active US Navy aircraft carrier will participate in the activities in and around the Battleship IOWA to celebrate the dedication and sacrifice of all those who serve and served in the US Sea Services.</t>
  </si>
  <si>
    <t>LA Fleet Week the largest Memorial wknd event in So. CA. An active US Navy aircraft carrier will participate in the activities in &amp; around the Battleship IOWA.</t>
  </si>
  <si>
    <t>Fleet</t>
  </si>
  <si>
    <t xml:space="preserve">250 S Harbor Blvd, Los Angeles, CA </t>
  </si>
  <si>
    <t>Farm + Food Lab</t>
  </si>
  <si>
    <t>https://www.cityofirvine.org/great-park/farm-food-lab</t>
  </si>
  <si>
    <t xml:space="preserve">Farm  </t>
  </si>
  <si>
    <t>The Farm + Food Lab is a unique and interactive outdoor classroom for visitors of all ages, filled with themed gardens and interesting plants. Visit the numerous spaces containing plants for delicious food, tea, medicine, sweets, herbs, construction, and other uniquely themed beds.</t>
  </si>
  <si>
    <t xml:space="preserve">The Farm + Food Lab is a unique and interactive outdoor classroom for visitors of all ages, filled with themed gardens and interesting plants. </t>
  </si>
  <si>
    <t>8000 Great Park Blvd. Irvine, CA </t>
  </si>
  <si>
    <t>Balloon at sunset</t>
  </si>
  <si>
    <t>Date</t>
  </si>
  <si>
    <t>https://www.cityofirvine.org/great-park/great-park-balloon-carousel</t>
  </si>
  <si>
    <t>Balloon</t>
  </si>
  <si>
    <t>The Great Park Balloon is Great Park’s iconic attraction. With the ability to soar 400 feet above the surrounding landscape, it serves as a public observation deck for Great Park’s development and offers an unmatched 360° view that spans 40 miles on a clear day.</t>
  </si>
  <si>
    <t>The Great Park Balloon - With the ability to soar 400 feet above the surrounding landscape, offers an unmatched 360° view that spans 40 miles on a clear day.</t>
  </si>
  <si>
    <t>Arroyo Bird Park</t>
  </si>
  <si>
    <t>Family, solo, group, date</t>
  </si>
  <si>
    <t>Shake</t>
  </si>
  <si>
    <t>https://www.shakespearebythesea.org/wp/locations/</t>
  </si>
  <si>
    <t>Shakespear By the Sea</t>
  </si>
  <si>
    <t>Our Free Summer Festival is for everyone — regardless of age, race, economic stability or address and our audience is a melting pot of Americana. It is the only annual admission free theatrical event that serves the entire South Bay, LA, and parts of Orange Counties. We are the only Shakespeare company on the West Coast that travels to so many communities with its programming.</t>
  </si>
  <si>
    <t>Our Free Summer Festival is for everyone — regardless of age, race, economic stability or address and our audience is a melting pot of Americana. I</t>
  </si>
  <si>
    <t>https://www.atlasobscura.com/places/arroyo-bird-park</t>
  </si>
  <si>
    <t>Arroya</t>
  </si>
  <si>
    <t>Not much is known about this eclectic place in Orange County, but just off the beaten path along the San Juan Creek, at the intersection of Calle Arroyo and Via Sonora, sits a tiny little folk/outsider art installation. It’s comprised of fake evergreen trees, dozens of handmade birdhouses, gnomes, little Buddha statues, blown glass sculptures, and a myriad of other trinkets people have left behind.</t>
  </si>
  <si>
    <t xml:space="preserve"> It’s has fake evergreen trees, dozens of handmade birdhouses, gnomes, little Buddha statues, blown glass sculptures &amp; a myriad of other trinkets.</t>
  </si>
  <si>
    <t>31791 Los Rios St, San Juan Capistrano</t>
  </si>
  <si>
    <t>https://meeplesfamily.com/</t>
  </si>
  <si>
    <t>Board</t>
  </si>
  <si>
    <t>Family, group</t>
  </si>
  <si>
    <t xml:space="preserve">321 W. Katella Ave. #160 Anaheim, CA </t>
  </si>
  <si>
    <t>Meeples Family is a board game cafe located at GardenWalk in the city of Anaheim. We have approximately 2,000 games in our game library, and the list is still growing! Whether you are a party game person, a card game enthusiast, an Euro style strategy board gamer, or an explorer, you are sure to find something you love from our game library. Our private tents can sit up to 6 people at a time with 1-hour block of play time.</t>
  </si>
  <si>
    <t xml:space="preserve">Meeples Family is a board game cafe - We have approximately 2,000 games in our game library, and the list is still growing! </t>
  </si>
  <si>
    <t>Board Game Café</t>
  </si>
  <si>
    <t>Civil War Recreation</t>
  </si>
  <si>
    <t>The Huntington Beach Historical Society welcomes you to this glorious event that is always free to the public. In the late 19th and early 20th centuries Huntington Beach hosted a number of annual Western region encampments of the Grand Army of the Republic, the fraternal organization of the Union veterans of the Civil War. At these encampments members met to reminisce about their service, promote veterans advocacy, and to teach people about the War, and the history of our country. Now we are proud continue Huntington Beach's tradition by promoting historical education and understanding in our community through Civil War Days and The Revolution.</t>
  </si>
  <si>
    <t>Huntington Beach Historical Society welcomes you to this glorious event that is always free to the public. Civil War Days hosts reenactors from all over the US.</t>
  </si>
  <si>
    <t>Civil</t>
  </si>
  <si>
    <t xml:space="preserve">18002 Goldenwest St, Huntington Beach, CA </t>
  </si>
  <si>
    <t>Poetry Reading</t>
  </si>
  <si>
    <t>Poetry</t>
  </si>
  <si>
    <t>https://www.tnofullerton.com/events</t>
  </si>
  <si>
    <t xml:space="preserve">200 N Harbor Blvd Fullerton, CA </t>
  </si>
  <si>
    <t>Join us every last Sunday of the month  for open mic poetry night! Google for more options.</t>
  </si>
  <si>
    <t>Summer Concert &amp; Cinemas</t>
  </si>
  <si>
    <t>The County of Orange and OC Parks are excited to announce the 2024 lineup for the annual OC Parks Summer Concert Series and Sunset Cinema film series. Enjoy family-friendly entertainment under the stars at regional parks with free live music and movie screenings all summer long. All events are free to attend with free parking and food and drink options available for purchase. </t>
  </si>
  <si>
    <t xml:space="preserve"> Enjoy family-friendly entertainment under the stars at a park with free live music &amp; movies all summer long. All events are free to attend with free parking.</t>
  </si>
  <si>
    <t>Summer</t>
  </si>
  <si>
    <t>Group, date, solo, family</t>
  </si>
  <si>
    <t>Free is for me</t>
  </si>
  <si>
    <t>Ocean</t>
  </si>
  <si>
    <t xml:space="preserve">Festival  </t>
  </si>
  <si>
    <t>Fencing</t>
  </si>
  <si>
    <t>Bird</t>
  </si>
  <si>
    <t>Concert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</si>
</sst>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14"/>
      <color theme="1"/>
      <name val="Aptos Narrow"/>
      <family val="2"/>
      <scheme val="minor"/>
    </font>
    <font>
      <sz val="9"/>
      <color rgb="FF000000"/>
      <name val="Open_sansregular"/>
    </font>
    <font>
      <sz val="8"/>
      <color theme="1"/>
      <name val="Arial"/>
      <family val="2"/>
    </font>
    <font>
      <sz val="8"/>
      <color rgb="FF000000"/>
      <name val="Arial"/>
      <family val="2"/>
    </font>
    <font>
      <sz val="8"/>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0" fontId="0" fillId="3" borderId="0" xfId="0" applyFill="1"/>
    <xf numFmtId="0" fontId="1" fillId="3" borderId="1" xfId="0" applyFont="1" applyFill="1" applyBorder="1" applyAlignment="1">
      <alignment horizontal="center"/>
    </xf>
    <xf numFmtId="0" fontId="0" fillId="2" borderId="0" xfId="0" applyFill="1"/>
    <xf numFmtId="0" fontId="5" fillId="2" borderId="1" xfId="0" applyFont="1" applyFill="1" applyBorder="1"/>
    <xf numFmtId="0" fontId="5" fillId="2" borderId="1" xfId="0" applyFont="1" applyFill="1" applyBorder="1" applyAlignment="1">
      <alignment wrapText="1"/>
    </xf>
    <xf numFmtId="0" fontId="6" fillId="2" borderId="1" xfId="0" applyFont="1" applyFill="1" applyBorder="1" applyAlignment="1">
      <alignment wrapText="1"/>
    </xf>
    <xf numFmtId="14" fontId="2" fillId="2" borderId="1" xfId="0" applyNumberFormat="1" applyFont="1" applyFill="1" applyBorder="1"/>
    <xf numFmtId="0" fontId="4" fillId="2" borderId="1" xfId="0" applyFont="1" applyFill="1" applyBorder="1" applyAlignment="1">
      <alignment wrapText="1"/>
    </xf>
    <xf numFmtId="0" fontId="4" fillId="2" borderId="1" xfId="0" applyFont="1" applyFill="1" applyBorder="1"/>
    <xf numFmtId="0" fontId="8" fillId="2" borderId="1" xfId="0" applyFont="1" applyFill="1" applyBorder="1" applyAlignment="1">
      <alignment vertical="center" wrapText="1"/>
    </xf>
    <xf numFmtId="0" fontId="7" fillId="2" borderId="1" xfId="0" applyFont="1" applyFill="1" applyBorder="1" applyAlignment="1">
      <alignment vertical="center"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14"/>
  <sheetViews>
    <sheetView tabSelected="1" zoomScale="80" zoomScaleNormal="80" workbookViewId="0">
      <selection activeCell="I11" sqref="I1:I1048576"/>
    </sheetView>
  </sheetViews>
  <sheetFormatPr defaultRowHeight="14.5"/>
  <cols>
    <col min="1" max="1" width="40.6328125" style="8" customWidth="1"/>
    <col min="2" max="2" width="30.6328125" style="8" customWidth="1"/>
    <col min="3" max="3" width="37.81640625" style="8" customWidth="1"/>
    <col min="4" max="4" width="31" style="8" customWidth="1"/>
    <col min="5" max="5" width="6.7265625" style="8" customWidth="1"/>
    <col min="6" max="6" width="23.90625" style="8" customWidth="1"/>
    <col min="7" max="7" width="11.90625" style="8" customWidth="1"/>
    <col min="8" max="8" width="38.453125" style="8" customWidth="1"/>
    <col min="9" max="9" width="26" style="8" customWidth="1"/>
    <col min="10" max="10" width="40.6328125" style="8" customWidth="1"/>
    <col min="11" max="11" width="14" style="8" customWidth="1"/>
    <col min="12" max="12" width="13.08984375" style="8" customWidth="1"/>
    <col min="13" max="13" width="23" style="8" customWidth="1"/>
    <col min="14" max="14" width="19.26953125" style="8" customWidth="1"/>
    <col min="15" max="15" width="25.6328125" style="8" customWidth="1"/>
    <col min="16" max="16" width="22.453125" style="8" customWidth="1"/>
    <col min="17" max="17" width="19.81640625" style="8" customWidth="1"/>
    <col min="18" max="18" width="22.1796875" style="8" customWidth="1"/>
    <col min="19" max="16384" width="8.7265625" style="8"/>
  </cols>
  <sheetData>
    <row r="1" spans="1:17" s="6" customFormat="1" ht="34">
      <c r="A1" s="7" t="s">
        <v>0</v>
      </c>
      <c r="B1" s="7" t="s">
        <v>11</v>
      </c>
      <c r="C1" s="7" t="s">
        <v>12</v>
      </c>
      <c r="D1" s="17" t="s">
        <v>13</v>
      </c>
      <c r="E1" s="18" t="s">
        <v>14</v>
      </c>
      <c r="F1" s="7" t="s">
        <v>1</v>
      </c>
      <c r="G1" s="7" t="s">
        <v>2</v>
      </c>
      <c r="H1" s="7" t="s">
        <v>3</v>
      </c>
      <c r="I1" s="17" t="s">
        <v>10</v>
      </c>
      <c r="J1" s="7" t="s">
        <v>4</v>
      </c>
      <c r="K1" s="7" t="s">
        <v>5</v>
      </c>
      <c r="L1" s="7" t="s">
        <v>6</v>
      </c>
      <c r="M1" s="7" t="s">
        <v>7</v>
      </c>
      <c r="N1" s="7" t="s">
        <v>8</v>
      </c>
      <c r="O1" s="7" t="s">
        <v>9</v>
      </c>
      <c r="P1" s="17" t="s">
        <v>15</v>
      </c>
      <c r="Q1" s="7" t="s">
        <v>8</v>
      </c>
    </row>
    <row r="2" spans="1:17" ht="147" customHeight="1">
      <c r="A2" s="10" t="s">
        <v>58</v>
      </c>
      <c r="B2" s="10" t="s">
        <v>58</v>
      </c>
      <c r="C2" s="16" t="s">
        <v>67</v>
      </c>
      <c r="D2" s="16" t="s">
        <v>68</v>
      </c>
      <c r="E2" s="2">
        <f>LEN(D2)</f>
        <v>146</v>
      </c>
      <c r="F2" s="1" t="s">
        <v>96</v>
      </c>
      <c r="G2" s="4">
        <v>92675</v>
      </c>
      <c r="H2" s="13" t="s">
        <v>69</v>
      </c>
      <c r="I2" s="1" t="s">
        <v>66</v>
      </c>
      <c r="J2" s="2" t="s">
        <v>65</v>
      </c>
      <c r="K2" s="12">
        <v>45292</v>
      </c>
      <c r="L2" s="12">
        <v>410534</v>
      </c>
      <c r="M2" s="2" t="s">
        <v>59</v>
      </c>
      <c r="N2" s="1" t="s">
        <v>92</v>
      </c>
      <c r="O2" s="1" t="str">
        <f>I2</f>
        <v>Arroya</v>
      </c>
      <c r="P2" s="1" t="s">
        <v>20</v>
      </c>
      <c r="Q2" s="1" t="str">
        <f>N2</f>
        <v>Free is for me</v>
      </c>
    </row>
    <row r="3" spans="1:17" ht="135" customHeight="1">
      <c r="A3" s="2" t="s">
        <v>52</v>
      </c>
      <c r="B3" s="2" t="s">
        <v>52</v>
      </c>
      <c r="C3" s="15" t="s">
        <v>56</v>
      </c>
      <c r="D3" s="15" t="s">
        <v>57</v>
      </c>
      <c r="E3" s="2">
        <f>LEN(D3)</f>
        <v>157</v>
      </c>
      <c r="F3" s="1" t="s">
        <v>55</v>
      </c>
      <c r="G3" s="4">
        <v>92618</v>
      </c>
      <c r="H3" s="14" t="s">
        <v>51</v>
      </c>
      <c r="I3" s="1" t="s">
        <v>55</v>
      </c>
      <c r="J3" s="2" t="s">
        <v>54</v>
      </c>
      <c r="K3" s="12">
        <v>45292</v>
      </c>
      <c r="L3" s="12">
        <v>410534</v>
      </c>
      <c r="M3" s="2" t="s">
        <v>53</v>
      </c>
      <c r="N3" s="1" t="s">
        <v>92</v>
      </c>
      <c r="O3" s="1" t="str">
        <f>I3</f>
        <v>Balloon</v>
      </c>
      <c r="P3" s="1" t="s">
        <v>53</v>
      </c>
      <c r="Q3" s="1" t="str">
        <f>N3</f>
        <v>Free is for me</v>
      </c>
    </row>
    <row r="4" spans="1:17" ht="89" customHeight="1">
      <c r="A4" s="2" t="s">
        <v>76</v>
      </c>
      <c r="B4" s="2" t="s">
        <v>76</v>
      </c>
      <c r="C4" s="11" t="s">
        <v>74</v>
      </c>
      <c r="D4" s="11" t="s">
        <v>75</v>
      </c>
      <c r="E4" s="2">
        <f>LEN(D4)</f>
        <v>124</v>
      </c>
      <c r="F4" s="4" t="s">
        <v>71</v>
      </c>
      <c r="G4" s="4">
        <v>92802</v>
      </c>
      <c r="H4" s="3" t="s">
        <v>73</v>
      </c>
      <c r="I4" s="4" t="s">
        <v>71</v>
      </c>
      <c r="J4" s="2" t="s">
        <v>70</v>
      </c>
      <c r="K4" s="12">
        <v>45292</v>
      </c>
      <c r="L4" s="12">
        <v>410534</v>
      </c>
      <c r="M4" s="2" t="s">
        <v>72</v>
      </c>
      <c r="N4" s="4" t="s">
        <v>92</v>
      </c>
      <c r="O4" s="1" t="str">
        <f>I4</f>
        <v>Board</v>
      </c>
      <c r="P4" s="1" t="s">
        <v>20</v>
      </c>
      <c r="Q4" s="1" t="str">
        <f>N4</f>
        <v>Free is for me</v>
      </c>
    </row>
    <row r="5" spans="1:17" ht="94.5" customHeight="1">
      <c r="A5" s="2" t="s">
        <v>77</v>
      </c>
      <c r="B5" s="2" t="s">
        <v>77</v>
      </c>
      <c r="C5" s="11" t="s">
        <v>78</v>
      </c>
      <c r="D5" s="11" t="s">
        <v>79</v>
      </c>
      <c r="E5" s="2">
        <f>LEN(D5)</f>
        <v>160</v>
      </c>
      <c r="F5" s="4" t="s">
        <v>80</v>
      </c>
      <c r="G5" s="4">
        <v>92647</v>
      </c>
      <c r="H5" s="3" t="s">
        <v>81</v>
      </c>
      <c r="I5" s="4" t="s">
        <v>80</v>
      </c>
      <c r="J5" s="2" t="s">
        <v>16</v>
      </c>
      <c r="K5" s="12">
        <v>45535</v>
      </c>
      <c r="L5" s="12">
        <v>45536</v>
      </c>
      <c r="M5" s="2" t="s">
        <v>59</v>
      </c>
      <c r="N5" s="4" t="s">
        <v>92</v>
      </c>
      <c r="O5" s="1" t="str">
        <f>I5</f>
        <v>Civil</v>
      </c>
      <c r="P5" s="1" t="s">
        <v>20</v>
      </c>
      <c r="Q5" s="1" t="str">
        <f>N5</f>
        <v>Free is for me</v>
      </c>
    </row>
    <row r="6" spans="1:17" ht="90" customHeight="1">
      <c r="A6" s="2" t="s">
        <v>46</v>
      </c>
      <c r="B6" s="2" t="s">
        <v>46</v>
      </c>
      <c r="C6" s="15" t="s">
        <v>49</v>
      </c>
      <c r="D6" s="15" t="s">
        <v>50</v>
      </c>
      <c r="E6" s="2">
        <f>LEN(D6)</f>
        <v>143</v>
      </c>
      <c r="F6" s="1" t="s">
        <v>48</v>
      </c>
      <c r="G6" s="4">
        <v>92618</v>
      </c>
      <c r="H6" s="14" t="s">
        <v>51</v>
      </c>
      <c r="I6" s="1" t="s">
        <v>48</v>
      </c>
      <c r="J6" s="2" t="s">
        <v>47</v>
      </c>
      <c r="K6" s="12">
        <v>45292</v>
      </c>
      <c r="L6" s="12">
        <v>410534</v>
      </c>
      <c r="M6" s="2" t="s">
        <v>19</v>
      </c>
      <c r="N6" s="1" t="s">
        <v>92</v>
      </c>
      <c r="O6" s="1" t="str">
        <f>I6</f>
        <v xml:space="preserve">Farm  </v>
      </c>
      <c r="P6" s="1" t="s">
        <v>20</v>
      </c>
      <c r="Q6" s="1" t="str">
        <f>N6</f>
        <v>Free is for me</v>
      </c>
    </row>
    <row r="7" spans="1:17" ht="81" customHeight="1">
      <c r="A7" s="2" t="s">
        <v>26</v>
      </c>
      <c r="B7" s="2" t="s">
        <v>26</v>
      </c>
      <c r="C7" s="15" t="s">
        <v>39</v>
      </c>
      <c r="D7" s="15" t="s">
        <v>39</v>
      </c>
      <c r="E7" s="2">
        <f>LEN(D7)</f>
        <v>119</v>
      </c>
      <c r="F7" s="1" t="s">
        <v>38</v>
      </c>
      <c r="G7" s="4"/>
      <c r="H7" s="14" t="s">
        <v>23</v>
      </c>
      <c r="I7" s="1" t="s">
        <v>38</v>
      </c>
      <c r="J7" s="2" t="s">
        <v>37</v>
      </c>
      <c r="K7" s="12">
        <v>45292</v>
      </c>
      <c r="L7" s="12">
        <v>410534</v>
      </c>
      <c r="M7" s="2" t="s">
        <v>19</v>
      </c>
      <c r="N7" s="1" t="s">
        <v>92</v>
      </c>
      <c r="O7" s="1" t="str">
        <f>I7</f>
        <v>Farmers</v>
      </c>
      <c r="P7" s="1" t="s">
        <v>20</v>
      </c>
      <c r="Q7" s="1" t="str">
        <f>N7</f>
        <v>Free is for me</v>
      </c>
    </row>
    <row r="8" spans="1:17" ht="86.5" customHeight="1">
      <c r="A8" s="2" t="s">
        <v>41</v>
      </c>
      <c r="B8" s="2" t="s">
        <v>41</v>
      </c>
      <c r="C8" s="15" t="s">
        <v>42</v>
      </c>
      <c r="D8" s="15" t="s">
        <v>43</v>
      </c>
      <c r="E8" s="2">
        <f>LEN(D8)</f>
        <v>159</v>
      </c>
      <c r="F8" s="1" t="s">
        <v>44</v>
      </c>
      <c r="G8" s="4">
        <v>90731</v>
      </c>
      <c r="H8" s="14" t="s">
        <v>45</v>
      </c>
      <c r="I8" s="1" t="s">
        <v>44</v>
      </c>
      <c r="J8" s="2" t="s">
        <v>40</v>
      </c>
      <c r="K8" s="12">
        <v>45801</v>
      </c>
      <c r="L8" s="12">
        <v>45804</v>
      </c>
      <c r="M8" s="2" t="s">
        <v>19</v>
      </c>
      <c r="N8" s="1" t="s">
        <v>92</v>
      </c>
      <c r="O8" s="1" t="str">
        <f>I8</f>
        <v>Fleet</v>
      </c>
      <c r="P8" s="1" t="s">
        <v>20</v>
      </c>
      <c r="Q8" s="1" t="str">
        <f>N8</f>
        <v>Free is for me</v>
      </c>
    </row>
    <row r="9" spans="1:17" ht="97.5" customHeight="1">
      <c r="A9" s="2" t="s">
        <v>30</v>
      </c>
      <c r="B9" s="2" t="s">
        <v>30</v>
      </c>
      <c r="C9" s="15" t="s">
        <v>34</v>
      </c>
      <c r="D9" s="15" t="s">
        <v>35</v>
      </c>
      <c r="E9" s="2">
        <f>LEN(D9)</f>
        <v>147</v>
      </c>
      <c r="F9" s="1" t="s">
        <v>95</v>
      </c>
      <c r="G9" s="4">
        <v>92604</v>
      </c>
      <c r="H9" s="14" t="s">
        <v>33</v>
      </c>
      <c r="I9" s="1" t="s">
        <v>32</v>
      </c>
      <c r="J9" s="2" t="s">
        <v>31</v>
      </c>
      <c r="K9" s="12">
        <v>45292</v>
      </c>
      <c r="L9" s="12">
        <v>410534</v>
      </c>
      <c r="M9" s="2" t="s">
        <v>27</v>
      </c>
      <c r="N9" s="1" t="s">
        <v>92</v>
      </c>
      <c r="O9" s="1" t="str">
        <f>I9</f>
        <v>Light</v>
      </c>
      <c r="P9" s="1" t="s">
        <v>29</v>
      </c>
      <c r="Q9" s="1" t="str">
        <f>N9</f>
        <v>Free is for me</v>
      </c>
    </row>
    <row r="10" spans="1:17" ht="36">
      <c r="A10" s="2" t="s">
        <v>82</v>
      </c>
      <c r="B10" s="2" t="s">
        <v>82</v>
      </c>
      <c r="C10" s="11" t="s">
        <v>86</v>
      </c>
      <c r="D10" s="11" t="s">
        <v>86</v>
      </c>
      <c r="E10" s="2">
        <f>LEN(D10)</f>
        <v>91</v>
      </c>
      <c r="F10" s="4" t="s">
        <v>83</v>
      </c>
      <c r="G10" s="4">
        <v>92832</v>
      </c>
      <c r="H10" s="3" t="s">
        <v>85</v>
      </c>
      <c r="I10" s="4" t="s">
        <v>83</v>
      </c>
      <c r="J10" s="2" t="s">
        <v>84</v>
      </c>
      <c r="K10" s="12">
        <v>45292</v>
      </c>
      <c r="L10" s="12">
        <v>410534</v>
      </c>
      <c r="M10" s="2" t="s">
        <v>36</v>
      </c>
      <c r="N10" s="4" t="s">
        <v>92</v>
      </c>
      <c r="O10" s="1" t="str">
        <f>I10</f>
        <v>Poetry</v>
      </c>
      <c r="P10" s="1" t="s">
        <v>28</v>
      </c>
      <c r="Q10" s="1" t="str">
        <f>N10</f>
        <v>Free is for me</v>
      </c>
    </row>
    <row r="11" spans="1:17" ht="116.5">
      <c r="A11" s="2" t="s">
        <v>18</v>
      </c>
      <c r="B11" s="2" t="s">
        <v>18</v>
      </c>
      <c r="C11" s="11" t="s">
        <v>24</v>
      </c>
      <c r="D11" s="11" t="s">
        <v>25</v>
      </c>
      <c r="E11" s="2">
        <f>LEN(D11)</f>
        <v>134</v>
      </c>
      <c r="F11" s="1" t="s">
        <v>93</v>
      </c>
      <c r="G11" s="4"/>
      <c r="H11" s="14" t="s">
        <v>23</v>
      </c>
      <c r="I11" s="1" t="s">
        <v>22</v>
      </c>
      <c r="J11" s="2" t="s">
        <v>21</v>
      </c>
      <c r="K11" s="12">
        <v>45292</v>
      </c>
      <c r="L11" s="12">
        <v>410534</v>
      </c>
      <c r="M11" s="2" t="s">
        <v>19</v>
      </c>
      <c r="N11" s="1" t="s">
        <v>92</v>
      </c>
      <c r="O11" s="1" t="str">
        <f>I11</f>
        <v>See</v>
      </c>
      <c r="P11" s="1" t="s">
        <v>20</v>
      </c>
      <c r="Q11" s="1" t="str">
        <f>N11</f>
        <v>Free is for me</v>
      </c>
    </row>
    <row r="12" spans="1:17" ht="70">
      <c r="A12" s="9" t="s">
        <v>62</v>
      </c>
      <c r="B12" s="9" t="s">
        <v>62</v>
      </c>
      <c r="C12" s="16" t="s">
        <v>63</v>
      </c>
      <c r="D12" s="16" t="s">
        <v>64</v>
      </c>
      <c r="E12" s="2">
        <f>LEN(D12)</f>
        <v>147</v>
      </c>
      <c r="F12" s="1" t="s">
        <v>94</v>
      </c>
      <c r="G12" s="4"/>
      <c r="H12" s="13" t="s">
        <v>23</v>
      </c>
      <c r="I12" s="1" t="s">
        <v>60</v>
      </c>
      <c r="J12" s="2" t="s">
        <v>61</v>
      </c>
      <c r="K12" s="12">
        <v>45292</v>
      </c>
      <c r="L12" s="12">
        <v>410534</v>
      </c>
      <c r="M12" s="2" t="s">
        <v>59</v>
      </c>
      <c r="N12" s="1" t="s">
        <v>92</v>
      </c>
      <c r="O12" s="1" t="str">
        <f>I12</f>
        <v>Shake</v>
      </c>
      <c r="P12" s="1"/>
      <c r="Q12" s="1" t="str">
        <f>N12</f>
        <v>Free is for me</v>
      </c>
    </row>
    <row r="13" spans="1:17" ht="105">
      <c r="A13" s="2" t="s">
        <v>87</v>
      </c>
      <c r="B13" s="2" t="s">
        <v>87</v>
      </c>
      <c r="C13" s="11" t="s">
        <v>88</v>
      </c>
      <c r="D13" s="11" t="s">
        <v>89</v>
      </c>
      <c r="E13" s="2">
        <f>LEN(D13)</f>
        <v>158</v>
      </c>
      <c r="F13" s="4" t="s">
        <v>97</v>
      </c>
      <c r="G13" s="5"/>
      <c r="H13" s="3" t="s">
        <v>23</v>
      </c>
      <c r="I13" s="4" t="s">
        <v>90</v>
      </c>
      <c r="J13" s="2" t="s">
        <v>17</v>
      </c>
      <c r="K13" s="12">
        <v>45463</v>
      </c>
      <c r="L13" s="12">
        <v>45526</v>
      </c>
      <c r="M13" s="2" t="s">
        <v>91</v>
      </c>
      <c r="N13" s="4" t="s">
        <v>92</v>
      </c>
      <c r="O13" s="1" t="str">
        <f>I13</f>
        <v>Summer</v>
      </c>
      <c r="P13" s="1" t="s">
        <v>53</v>
      </c>
      <c r="Q13" s="1" t="str">
        <f>N13</f>
        <v>Free is for me</v>
      </c>
    </row>
    <row r="14" spans="1:17" ht="18.5">
      <c r="A14" s="9"/>
      <c r="B14" s="5"/>
      <c r="C14" s="5"/>
      <c r="D14" s="5"/>
      <c r="E14" s="5"/>
      <c r="F14" s="5"/>
      <c r="G14" s="5"/>
      <c r="H14" s="5"/>
      <c r="I14" s="5"/>
      <c r="J14" s="5"/>
      <c r="K14" s="5"/>
      <c r="L14" s="5"/>
      <c r="M14" s="5"/>
      <c r="N14" s="5"/>
      <c r="O14" s="5"/>
      <c r="P14" s="5"/>
      <c r="Q14" s="5"/>
    </row>
  </sheetData>
  <autoFilter ref="A1:Q13" xr:uid="{63DA3E44-3605-449C-AE11-8D4FB01A0BBE}">
    <sortState xmlns:xlrd2="http://schemas.microsoft.com/office/spreadsheetml/2017/richdata2" ref="A2:Q13">
      <sortCondition ref="B1:B13"/>
    </sortState>
  </autoFilter>
  <phoneticPr fontId="9"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Misc</vt:lpstr>
      <vt:lpstr>Misc!Print_Area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2024-08-12T03:43:06Z</dcterms:modified>
</cp:coreProperties>
</file>