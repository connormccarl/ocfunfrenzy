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03ECA990-4F9B-4932-B376-D23C42D3193A}" xr6:coauthVersionLast="47" xr6:coauthVersionMax="47" xr10:uidLastSave="{744474C9-6C4E-4985-B82B-A803FC040847}"/>
  <bookViews>
    <workbookView xWindow="-110" yWindow="-110" windowWidth="19420" windowHeight="11500" xr2:uid="{3F4AF157-4EA4-44F9-9369-4ED39BF1C451}"/>
  </bookViews>
  <sheets>
    <sheet name="Misc" sheetId="2" r:id="rId1"/>
  </sheets>
  <definedNames>
    <definedName name="_xlnm._FilterDatabase" localSheetId="0" hidden="1">Misc!$A$1:$Q$20</definedName>
    <definedName name="_xlnm.Print_Area" localSheetId="0">Misc!$A$1:$B$13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2" l="1"/>
  <c r="O6" i="2"/>
  <c r="E6" i="2"/>
  <c r="Q14" i="2"/>
  <c r="O14" i="2"/>
  <c r="E14" i="2"/>
  <c r="Q5" i="2"/>
  <c r="O5" i="2"/>
  <c r="E5" i="2"/>
  <c r="Q4" i="2"/>
  <c r="O4" i="2"/>
  <c r="E4" i="2"/>
  <c r="Q3" i="2"/>
  <c r="O3" i="2"/>
  <c r="E3" i="2"/>
  <c r="Q17" i="2"/>
  <c r="O17" i="2"/>
  <c r="E17" i="2"/>
  <c r="Q19" i="2"/>
  <c r="O19" i="2"/>
  <c r="E19" i="2"/>
  <c r="Q12" i="2"/>
  <c r="O12" i="2"/>
  <c r="E12" i="2"/>
  <c r="Q18" i="2"/>
  <c r="O18" i="2"/>
  <c r="E18" i="2"/>
  <c r="E8" i="2"/>
  <c r="O8" i="2"/>
  <c r="O15" i="2"/>
  <c r="Q10" i="2"/>
  <c r="Q20" i="2"/>
  <c r="Q9" i="2"/>
  <c r="Q11" i="2"/>
  <c r="Q2" i="2"/>
  <c r="Q15" i="2"/>
  <c r="Q13" i="2"/>
  <c r="Q7" i="2"/>
  <c r="Q16" i="2"/>
  <c r="O10" i="2"/>
  <c r="O20" i="2"/>
  <c r="O9" i="2"/>
  <c r="O11" i="2"/>
  <c r="O2" i="2"/>
  <c r="O13" i="2"/>
  <c r="O7" i="2"/>
  <c r="O16" i="2"/>
  <c r="E10" i="2"/>
  <c r="E20" i="2"/>
  <c r="E9" i="2"/>
  <c r="E11" i="2"/>
  <c r="E2" i="2"/>
  <c r="E15" i="2"/>
  <c r="E13" i="2"/>
  <c r="E7" i="2"/>
  <c r="E16" i="2"/>
</calcChain>
</file>

<file path=xl/sharedStrings.xml><?xml version="1.0" encoding="utf-8"?>
<sst xmlns="http://schemas.openxmlformats.org/spreadsheetml/2006/main" count="225" uniqueCount="145">
  <si>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</si>
  <si>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</si>
  <si>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</si>
  <si>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</si>
  <si>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</si>
  <si>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</si>
  <si>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</si>
  <si>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</si>
  <si>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</si>
  <si>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</si>
  <si>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</si>
  <si>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</si>
  <si>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</si>
  <si>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</si>
  <si>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</si>
  <si>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</si>
  <si>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Bingo</t>
  </si>
  <si>
    <t>https://ocparks.com/news/oc-parks-presents-2024-summer-concert-series-and-sunset-cinema-film-series</t>
  </si>
  <si>
    <t xml:space="preserve">Family  </t>
  </si>
  <si>
    <t>Orange County, CA</t>
  </si>
  <si>
    <t>https://artmasterclass.com/products/mosaic-classes-orange-county</t>
  </si>
  <si>
    <t xml:space="preserve">1652 Edinger Ave Suite A, Tustin, CA </t>
  </si>
  <si>
    <t>Mosaic Lamp Making</t>
  </si>
  <si>
    <t>Join us for a one-of-a-kind opportunity to craft your own Mosaic Lamp in just 2.5 hours. Unleash your creativity and immerse yourself in the beauty of Turkish mosaic art by attending our enchanting art classes.</t>
  </si>
  <si>
    <t>Join us for a one-of-a-kind opportunity to craft your own Mosaic Lamp in just 2.5 hours. Unleash your creativity &amp; immerse yourself in the beauty.</t>
  </si>
  <si>
    <t>Mosaic</t>
  </si>
  <si>
    <t>Solo, group</t>
  </si>
  <si>
    <t>Group</t>
  </si>
  <si>
    <t>17751 Sky Park E Ste E Irvine, CA</t>
  </si>
  <si>
    <t>Womens</t>
  </si>
  <si>
    <t>https://www.kravmagaoc.com/women.asp</t>
  </si>
  <si>
    <t>Solo</t>
  </si>
  <si>
    <t>Women's Self Defense Class</t>
  </si>
  <si>
    <t>This program teaches you how to defend yourself against common chokes, grabs, bear hugs, and other attacks, including fighting on the ground and when confronted with a weapon. We emphasize realistic scenarios and realistic defenses.</t>
  </si>
  <si>
    <t xml:space="preserve">This program teaches you how to defend yourself against common chokes, grabs &amp; other attacks, including fighting on the ground &amp; when confronted with a weapon. </t>
  </si>
  <si>
    <t xml:space="preserve">11 Spectrum Pointe Dr, Lake Forest, CA </t>
  </si>
  <si>
    <t>https://adi.artemishq.com/product/ladies-night/</t>
  </si>
  <si>
    <t>Ladies Night @ Artemis Defense Institute</t>
  </si>
  <si>
    <t>Ladies</t>
  </si>
  <si>
    <t>Ladies’ Night brings women of all ages and firearm experience together once each month to learn basic firearm safety and skills, as well as personal protection planning. You’ll enjoy a comfortable, safe, ammunition-free environment with a welcoming network of well-armed women, great information, and, of course, refreshments and snacks!</t>
  </si>
  <si>
    <t xml:space="preserve">Ladies’ Night brings women of all ages &amp; firearm experience together 1x/month to learn basic firearm safety &amp; skills, as well as personal protection planning. </t>
  </si>
  <si>
    <t>Solo, group, date</t>
  </si>
  <si>
    <t>https://www.pinotspalette.com/tustin</t>
  </si>
  <si>
    <t xml:space="preserve">2479 Park Ave, Tustin, CA </t>
  </si>
  <si>
    <t>Paint &amp; Sip</t>
  </si>
  <si>
    <t>Orange County's favorite night out! Join us for an evening of friends, fun, wine, and painting at our studio in Tustin! Google for more options.</t>
  </si>
  <si>
    <t>Paint</t>
  </si>
  <si>
    <t>8000 Great Park Blvd. Irvine, CA </t>
  </si>
  <si>
    <t>Balloon at sunset</t>
  </si>
  <si>
    <t>Date</t>
  </si>
  <si>
    <t>https://www.cityofirvine.org/great-park/great-park-balloon-carousel</t>
  </si>
  <si>
    <t>Balloon</t>
  </si>
  <si>
    <t>The Great Park Balloon is Great Park’s iconic attraction. With the ability to soar 400 feet above the surrounding landscape, it serves as a public observation deck for Great Park’s development and offers an unmatched 360° view that spans 40 miles on a clear day.</t>
  </si>
  <si>
    <t>The Great Park Balloon - With the ability to soar 400 feet above the surrounding landscape, offers an unmatched 360° view that spans 40 miles on a clear day.</t>
  </si>
  <si>
    <t>Tiki</t>
  </si>
  <si>
    <t>Tiki Boat Rental</t>
  </si>
  <si>
    <t>Rental</t>
  </si>
  <si>
    <t>https://newportbeachtikis.com/</t>
  </si>
  <si>
    <t>670 Lido Park Dr. Newport Beach, CA</t>
  </si>
  <si>
    <t>Looking for a unique way to celebrate your event? Host it aboard a floating Tiki! Google for more options.</t>
  </si>
  <si>
    <t>Pink Duffy Boat Rental</t>
  </si>
  <si>
    <t>https://www.eboatsrental.com/boating-special-event/</t>
  </si>
  <si>
    <t>Pink</t>
  </si>
  <si>
    <t xml:space="preserve">3424 Via Oporto #101, Newport Beach, CA </t>
  </si>
  <si>
    <t>Celebrate your special occasion while cruising the Newport Bay aboard the most festive and vibrant electric boats in Newport Beach, California. Personalize the celebration with a colorful boat and matching balloon garland!</t>
  </si>
  <si>
    <t xml:space="preserve">Celebrate your special occasion while cruising the Newport Bay aboard the most festive and vibrant electric boats in Newport Beach, CA. </t>
  </si>
  <si>
    <t>Belly Dancing</t>
  </si>
  <si>
    <t>Date, solo</t>
  </si>
  <si>
    <t>https://www.turkishcoffeereading.com/</t>
  </si>
  <si>
    <t>Turkish Coffee Reading</t>
  </si>
  <si>
    <t>The Turkish coffee reading starts with the querent (the person seeking his or her fortune) drinking a cup of fine-ground coffee from a ceramic teacup with a saucer. This is also referred to as the art of tasseography. Google for more options.</t>
  </si>
  <si>
    <t xml:space="preserve">Turkish coffee reading starts with you drinking a cup of coffee from a ceramic teacup with a saucer. This is also referred to as the art of tasseography. </t>
  </si>
  <si>
    <t>Turkish</t>
  </si>
  <si>
    <t>Tarot Card Reading</t>
  </si>
  <si>
    <t>https://mrsleespalmreader.com/</t>
  </si>
  <si>
    <t>Date, solo, group</t>
  </si>
  <si>
    <t xml:space="preserve">17251 17th St. Suite E Tustin, CA </t>
  </si>
  <si>
    <t>Tarot</t>
  </si>
  <si>
    <t>Tarot card reading is a form of cartomancy whereby practitioners use tarot cards to purportedly gain insight into the past, present or future. Google for more options.</t>
  </si>
  <si>
    <t xml:space="preserve">Tarot card reading is a form of cartomancy whereby practitioners use tarot cards to purportedly gain insight into the past, present or future. </t>
  </si>
  <si>
    <t>Belly</t>
  </si>
  <si>
    <t>https://www.meetup.com/bellydance-368/events/302709403/?recId=c6dbebe6-998e-40f8-9839-ba0ff2f5f4f4&amp;recSource=keyword_search&amp;searchId=5976684b-a33d-4d5e-bf16-c149109c5e84</t>
  </si>
  <si>
    <t xml:space="preserve">375-399 3rd St, Laguna Beach, CA </t>
  </si>
  <si>
    <t>Belly dancing is a distinctive dance style that originated in the Middle East and focuses on isolated movements of the hips and torso. It can be performed solo or in a group and often features flowing, brightly colored costumes with scarves, veils, and jewelry. Belly dancers may also use accessories like finger symbols, coin belts, or swords.</t>
  </si>
  <si>
    <t>Belly dancing is a distinctive dance style that originated in the Middle East and focuses on isolated movements of the hips and torso. I</t>
  </si>
  <si>
    <t>Family, solo, group, date</t>
  </si>
  <si>
    <t>Shake</t>
  </si>
  <si>
    <t>Beach</t>
  </si>
  <si>
    <t>https://www.shakespearebythesea.org/wp/locations/</t>
  </si>
  <si>
    <t>Shakespear By the Sea</t>
  </si>
  <si>
    <t>Our Free Summer Festival is for everyone — regardless of age, race, economic stability or address and our audience is a melting pot of Americana. It is the only annual admission free theatrical event that serves the entire South Bay, LA, and parts of Orange Counties. We are the only Shakespeare company on the West Coast that travels to so many communities with its programming.</t>
  </si>
  <si>
    <t>Our Free Summer Festival is for everyone — regardless of age, race, economic stability or address and our audience is a melting pot of Americana. I</t>
  </si>
  <si>
    <t>https://mvelks.com/bingo/</t>
  </si>
  <si>
    <t>Join us for Bingo at the Elks Lodge in Mission Viejo, on Wednesdays from 3-10pm. Proceeds from bingo benefit the Purple Pig, Elks National Foundation and many other charities we support throughout the Lodge.</t>
  </si>
  <si>
    <t xml:space="preserve">Join us for Bingo at the Elks Lodge in Mission Viejo, on Wednesdays from 3-10pm. </t>
  </si>
  <si>
    <t>25092 Marguerite Pkwy, Mission Viejo, CA</t>
  </si>
  <si>
    <t>https://meeplesfamily.com/</t>
  </si>
  <si>
    <t>Board</t>
  </si>
  <si>
    <t>Family, group</t>
  </si>
  <si>
    <t xml:space="preserve">321 W. Katella Ave. #160 Anaheim, CA </t>
  </si>
  <si>
    <t>Meeples Family is a board game cafe located at GardenWalk in the city of Anaheim. We have approximately 2,000 games in our game library, and the list is still growing! Whether you are a party game person, a card game enthusiast, an Euro style strategy board gamer, or an explorer, you are sure to find something you love from our game library. Our private tents can sit up to 6 people at a time with 1-hour block of play time.</t>
  </si>
  <si>
    <t xml:space="preserve">Meeples Family is a board game cafe - We have approximately 2,000 games in our game library, and the list is still growing! </t>
  </si>
  <si>
    <t>Board Game Café</t>
  </si>
  <si>
    <t>Cooking Class</t>
  </si>
  <si>
    <t>Improv</t>
  </si>
  <si>
    <t>Poetry Reading</t>
  </si>
  <si>
    <t>Cooking</t>
  </si>
  <si>
    <t>Roller</t>
  </si>
  <si>
    <t>Poetry</t>
  </si>
  <si>
    <t>https://www.tnofullerton.com/events</t>
  </si>
  <si>
    <t xml:space="preserve">200 N Harbor Blvd Fullerton, CA </t>
  </si>
  <si>
    <t>Join us every last Sunday of the month  for open mic poetry night! Google for more options.</t>
  </si>
  <si>
    <t>https://improv.com/irvine/</t>
  </si>
  <si>
    <t>Group, date</t>
  </si>
  <si>
    <t xml:space="preserve">527 Spectrum Center Dr, Irvine, CA </t>
  </si>
  <si>
    <t>Comedy club featuring big names &amp; up-and-comers, plus offering a full food &amp; drink menu.</t>
  </si>
  <si>
    <t>Comedy club featuring big names &amp; up-and-comers, plus offering a full food &amp; drink menu. Google for more options.</t>
  </si>
  <si>
    <t>https://www.hipcooks.com/OC/classes/list</t>
  </si>
  <si>
    <t>Group, date, solo</t>
  </si>
  <si>
    <t xml:space="preserve">125 N. Broadway Suite C Santa Ana, CA </t>
  </si>
  <si>
    <t>Connect, learn and eat with Hipcooks hands-on cooking classes. Our public class schedule is posted below. Or, gather your group and book us all to yourselves. Google for more options.</t>
  </si>
  <si>
    <t xml:space="preserve">Connect, learn and eat with Hipcooks hands-on cooking classes. Our public class schedule is posted below. Or, gather your group and book us all to yourselves. </t>
  </si>
  <si>
    <t>Summer Concert &amp; Cinemas</t>
  </si>
  <si>
    <t>The County of Orange and OC Parks are excited to announce the 2024 lineup for the annual OC Parks Summer Concert Series and Sunset Cinema film series. Enjoy family-friendly entertainment under the stars at regional parks with free live music and movie screenings all summer long. All events are free to attend with free parking and food and drink options available for purchase. </t>
  </si>
  <si>
    <t xml:space="preserve"> Enjoy family-friendly entertainment under the stars at a park with free live music &amp; movies all summer long. All events are free to attend with free parking.</t>
  </si>
  <si>
    <t>Summer</t>
  </si>
  <si>
    <t>Group, date, solo, family</t>
  </si>
  <si>
    <t>https://www.ocderby.com/events</t>
  </si>
  <si>
    <t>Group, date, family</t>
  </si>
  <si>
    <t>Roller Derby</t>
  </si>
  <si>
    <r>
      <t>OCRD is a group of dedicated athletes who have formed a democratic, skater-owned and skater-operated flat track </t>
    </r>
    <r>
      <rPr>
        <b/>
        <sz val="9"/>
        <color rgb="FF5F6368"/>
        <rFont val="Arial"/>
        <family val="2"/>
      </rPr>
      <t>roller derby</t>
    </r>
    <r>
      <rPr>
        <sz val="9"/>
        <color rgb="FF4D5156"/>
        <rFont val="Arial"/>
        <family val="2"/>
      </rPr>
      <t> league in </t>
    </r>
    <r>
      <rPr>
        <b/>
        <sz val="9"/>
        <color rgb="FF5F6368"/>
        <rFont val="Arial"/>
        <family val="2"/>
      </rPr>
      <t>Orange County</t>
    </r>
    <r>
      <rPr>
        <sz val="9"/>
        <color rgb="FF4D5156"/>
        <rFont val="Arial"/>
        <family val="2"/>
      </rPr>
      <t>, </t>
    </r>
    <r>
      <rPr>
        <b/>
        <sz val="9"/>
        <color rgb="FF5F6368"/>
        <rFont val="Arial"/>
        <family val="2"/>
      </rPr>
      <t>CA</t>
    </r>
    <r>
      <rPr>
        <sz val="9"/>
        <color rgb="FF4D5156"/>
        <rFont val="Arial"/>
        <family val="2"/>
      </rPr>
      <t>.</t>
    </r>
  </si>
  <si>
    <t>Santa Catalina Island, CA</t>
  </si>
  <si>
    <t>Catalina Descanso Beach Club</t>
  </si>
  <si>
    <t>https://www.visitcatalinaisland.com/things-to-do/descanso-beach-club/?utm_campaign=organic&amp;utm_source=Google&amp;utm_content=listing</t>
  </si>
  <si>
    <t>Group, solo, family, date</t>
  </si>
  <si>
    <t>Catalina desc</t>
  </si>
  <si>
    <t>Stroll along the waterfront past the iconic Catalina Casino to Descanso Beach Club. It's home to Catalina's only beachside restaurant and bar and one of the last private beaches in California open to the public. It's also one of the few places where you can legally have a drink in your hand and your feet in the sand...at the same time. Serene morning hours on the Club's soft imported sand give way to afternoons of sun-drenched fun on the beach, where you can enjoy signature food and drinks delivered to your private cabana, chaise lounge, beach towel or ocean-view table.</t>
  </si>
  <si>
    <t xml:space="preserve">Descanso Beach Club - It's also one of the few places where you can legally have a drink in your hand and your feet in the sand...at the same time. </t>
  </si>
  <si>
    <t>Girls at night</t>
  </si>
  <si>
    <t xml:space="preserve">Festival  </t>
  </si>
  <si>
    <t>Craft</t>
  </si>
  <si>
    <t>Defense</t>
  </si>
  <si>
    <t>Reading</t>
  </si>
  <si>
    <t>Dancing</t>
  </si>
  <si>
    <t>Concert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</si>
</sst>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9"/>
      <color rgb="FF000000"/>
      <name val="Open_sansregular"/>
    </font>
    <font>
      <sz val="8"/>
      <color theme="1"/>
      <name val="Arial"/>
      <family val="2"/>
    </font>
    <font>
      <sz val="8"/>
      <name val="Arial"/>
      <family val="2"/>
    </font>
    <font>
      <sz val="8"/>
      <color rgb="FF000000"/>
      <name val="Arial"/>
      <family val="2"/>
    </font>
    <font>
      <sz val="8"/>
      <name val="Aptos Narrow"/>
      <family val="2"/>
      <scheme val="minor"/>
    </font>
    <font>
      <b/>
      <sz val="9"/>
      <color rgb="FF5F6368"/>
      <name val="Arial"/>
      <family val="2"/>
    </font>
    <font>
      <sz val="9"/>
      <color rgb="FF4D5156"/>
      <name val="Arial"/>
      <family val="2"/>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xf numFmtId="0" fontId="5" fillId="2" borderId="1" xfId="0" applyFont="1" applyFill="1" applyBorder="1" applyAlignment="1">
      <alignment wrapText="1"/>
    </xf>
    <xf numFmtId="0" fontId="6"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7" fillId="2" borderId="1" xfId="0" applyFont="1" applyFill="1" applyBorder="1" applyAlignment="1">
      <alignment vertical="center"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20"/>
  <sheetViews>
    <sheetView tabSelected="1" topLeftCell="A11" zoomScale="80" zoomScaleNormal="80" workbookViewId="0">
      <selection activeCell="J3" sqref="J3"/>
    </sheetView>
  </sheetViews>
  <sheetFormatPr defaultRowHeight="14.5"/>
  <cols>
    <col min="1" max="1" width="40.6328125" style="8" customWidth="1"/>
    <col min="2" max="2" width="30.6328125" style="8" customWidth="1"/>
    <col min="3" max="3" width="37.81640625" style="8" customWidth="1"/>
    <col min="4" max="4" width="31" style="8" customWidth="1"/>
    <col min="5" max="5" width="6.7265625" style="8" customWidth="1"/>
    <col min="6" max="6" width="23.90625" style="8" customWidth="1"/>
    <col min="7" max="7" width="11.90625" style="8" customWidth="1"/>
    <col min="8" max="8" width="38.453125" style="8" customWidth="1"/>
    <col min="9" max="9" width="26" style="8" customWidth="1"/>
    <col min="10" max="10" width="40.6328125" style="8" customWidth="1"/>
    <col min="11" max="11" width="14" style="8" customWidth="1"/>
    <col min="12" max="12" width="13.08984375" style="8" customWidth="1"/>
    <col min="13" max="13" width="23" style="8" customWidth="1"/>
    <col min="14" max="14" width="19.26953125" style="8" customWidth="1"/>
    <col min="15" max="15" width="25.6328125" style="8" customWidth="1"/>
    <col min="16" max="16" width="22.453125" style="8" customWidth="1"/>
    <col min="17" max="17" width="19.81640625" style="8" customWidth="1"/>
    <col min="18" max="18" width="22.1796875" style="8" customWidth="1"/>
    <col min="19" max="16384" width="8.7265625" style="8"/>
  </cols>
  <sheetData>
    <row r="1" spans="1:17" s="6" customFormat="1" ht="34">
      <c r="A1" s="7" t="s">
        <v>0</v>
      </c>
      <c r="B1" s="7" t="s">
        <v>11</v>
      </c>
      <c r="C1" s="7" t="s">
        <v>12</v>
      </c>
      <c r="D1" s="18" t="s">
        <v>13</v>
      </c>
      <c r="E1" s="19" t="s">
        <v>14</v>
      </c>
      <c r="F1" s="7" t="s">
        <v>1</v>
      </c>
      <c r="G1" s="7" t="s">
        <v>2</v>
      </c>
      <c r="H1" s="7" t="s">
        <v>3</v>
      </c>
      <c r="I1" s="18" t="s">
        <v>10</v>
      </c>
      <c r="J1" s="7" t="s">
        <v>4</v>
      </c>
      <c r="K1" s="7" t="s">
        <v>5</v>
      </c>
      <c r="L1" s="7" t="s">
        <v>6</v>
      </c>
      <c r="M1" s="7" t="s">
        <v>7</v>
      </c>
      <c r="N1" s="7" t="s">
        <v>8</v>
      </c>
      <c r="O1" s="7" t="s">
        <v>9</v>
      </c>
      <c r="P1" s="18" t="s">
        <v>15</v>
      </c>
      <c r="Q1" s="7" t="s">
        <v>8</v>
      </c>
    </row>
    <row r="2" spans="1:17" ht="56.5" customHeight="1">
      <c r="A2" s="2" t="s">
        <v>48</v>
      </c>
      <c r="B2" s="2" t="s">
        <v>48</v>
      </c>
      <c r="C2" s="16" t="s">
        <v>52</v>
      </c>
      <c r="D2" s="16" t="s">
        <v>53</v>
      </c>
      <c r="E2" s="2">
        <f>LEN(D2)</f>
        <v>157</v>
      </c>
      <c r="F2" s="1" t="s">
        <v>51</v>
      </c>
      <c r="G2" s="4">
        <v>92618</v>
      </c>
      <c r="H2" s="14" t="s">
        <v>47</v>
      </c>
      <c r="I2" s="1" t="s">
        <v>51</v>
      </c>
      <c r="J2" s="2" t="s">
        <v>50</v>
      </c>
      <c r="K2" s="12">
        <v>45292</v>
      </c>
      <c r="L2" s="12">
        <v>410534</v>
      </c>
      <c r="M2" s="2" t="s">
        <v>49</v>
      </c>
      <c r="N2" s="1" t="s">
        <v>138</v>
      </c>
      <c r="O2" s="1" t="str">
        <f>I2</f>
        <v>Balloon</v>
      </c>
      <c r="P2" s="1" t="s">
        <v>49</v>
      </c>
      <c r="Q2" s="1" t="str">
        <f>N2</f>
        <v>Girls at night</v>
      </c>
    </row>
    <row r="3" spans="1:17" ht="81.5" customHeight="1">
      <c r="A3" s="2" t="s">
        <v>66</v>
      </c>
      <c r="B3" s="2" t="s">
        <v>66</v>
      </c>
      <c r="C3" s="17" t="s">
        <v>83</v>
      </c>
      <c r="D3" s="17" t="s">
        <v>84</v>
      </c>
      <c r="E3" s="2">
        <f>LEN(D3)</f>
        <v>136</v>
      </c>
      <c r="F3" s="1" t="s">
        <v>143</v>
      </c>
      <c r="G3" s="4">
        <v>92651</v>
      </c>
      <c r="H3" s="13" t="s">
        <v>82</v>
      </c>
      <c r="I3" s="1" t="s">
        <v>80</v>
      </c>
      <c r="J3" s="2" t="s">
        <v>81</v>
      </c>
      <c r="K3" s="12">
        <v>45292</v>
      </c>
      <c r="L3" s="12">
        <v>410534</v>
      </c>
      <c r="M3" s="2" t="s">
        <v>26</v>
      </c>
      <c r="N3" s="1" t="s">
        <v>138</v>
      </c>
      <c r="O3" s="1" t="str">
        <f>I3</f>
        <v>Belly</v>
      </c>
      <c r="P3" s="1" t="s">
        <v>31</v>
      </c>
      <c r="Q3" s="1" t="str">
        <f>N3</f>
        <v>Girls at night</v>
      </c>
    </row>
    <row r="4" spans="1:17" ht="90" customHeight="1">
      <c r="A4" s="10" t="s">
        <v>16</v>
      </c>
      <c r="B4" s="10" t="s">
        <v>16</v>
      </c>
      <c r="C4" s="17" t="s">
        <v>93</v>
      </c>
      <c r="D4" s="17" t="s">
        <v>94</v>
      </c>
      <c r="E4" s="2">
        <f>LEN(D4)</f>
        <v>81</v>
      </c>
      <c r="F4" s="4" t="s">
        <v>16</v>
      </c>
      <c r="G4" s="4">
        <v>92692</v>
      </c>
      <c r="H4" s="13" t="s">
        <v>95</v>
      </c>
      <c r="I4" s="1" t="s">
        <v>16</v>
      </c>
      <c r="J4" s="2" t="s">
        <v>92</v>
      </c>
      <c r="K4" s="12">
        <v>45292</v>
      </c>
      <c r="L4" s="12">
        <v>410534</v>
      </c>
      <c r="M4" s="2" t="s">
        <v>41</v>
      </c>
      <c r="N4" s="4" t="s">
        <v>138</v>
      </c>
      <c r="O4" s="1" t="str">
        <f>I4</f>
        <v>Bingo</v>
      </c>
      <c r="P4" s="1" t="s">
        <v>31</v>
      </c>
      <c r="Q4" s="1" t="str">
        <f>N4</f>
        <v>Girls at night</v>
      </c>
    </row>
    <row r="5" spans="1:17" ht="46" customHeight="1">
      <c r="A5" s="2" t="s">
        <v>102</v>
      </c>
      <c r="B5" s="2" t="s">
        <v>102</v>
      </c>
      <c r="C5" s="11" t="s">
        <v>100</v>
      </c>
      <c r="D5" s="11" t="s">
        <v>101</v>
      </c>
      <c r="E5" s="2">
        <f>LEN(D5)</f>
        <v>124</v>
      </c>
      <c r="F5" s="4" t="s">
        <v>97</v>
      </c>
      <c r="G5" s="4">
        <v>92802</v>
      </c>
      <c r="H5" s="3" t="s">
        <v>99</v>
      </c>
      <c r="I5" s="4" t="s">
        <v>97</v>
      </c>
      <c r="J5" s="2" t="s">
        <v>96</v>
      </c>
      <c r="K5" s="12">
        <v>45292</v>
      </c>
      <c r="L5" s="12">
        <v>410534</v>
      </c>
      <c r="M5" s="2" t="s">
        <v>98</v>
      </c>
      <c r="N5" s="4" t="s">
        <v>138</v>
      </c>
      <c r="O5" s="1" t="str">
        <f>I5</f>
        <v>Board</v>
      </c>
      <c r="P5" s="1" t="s">
        <v>18</v>
      </c>
      <c r="Q5" s="1" t="str">
        <f>N5</f>
        <v>Girls at night</v>
      </c>
    </row>
    <row r="6" spans="1:17" ht="81" customHeight="1">
      <c r="A6" s="2" t="s">
        <v>132</v>
      </c>
      <c r="B6" s="2" t="s">
        <v>132</v>
      </c>
      <c r="C6" s="11" t="s">
        <v>136</v>
      </c>
      <c r="D6" s="11" t="s">
        <v>137</v>
      </c>
      <c r="E6" s="2">
        <f>LEN(D6)</f>
        <v>148</v>
      </c>
      <c r="F6" s="4" t="s">
        <v>87</v>
      </c>
      <c r="G6" s="4">
        <v>90704</v>
      </c>
      <c r="H6" s="3" t="s">
        <v>131</v>
      </c>
      <c r="I6" s="4" t="s">
        <v>135</v>
      </c>
      <c r="J6" s="2" t="s">
        <v>133</v>
      </c>
      <c r="K6" s="12">
        <v>45292</v>
      </c>
      <c r="L6" s="12">
        <v>410534</v>
      </c>
      <c r="M6" s="2" t="s">
        <v>134</v>
      </c>
      <c r="N6" s="4" t="s">
        <v>138</v>
      </c>
      <c r="O6" s="1" t="str">
        <f>I6</f>
        <v>Catalina desc</v>
      </c>
      <c r="P6" s="1" t="s">
        <v>49</v>
      </c>
      <c r="Q6" s="1" t="str">
        <f>N6</f>
        <v>Girls at night</v>
      </c>
    </row>
    <row r="7" spans="1:17" ht="92.5" customHeight="1">
      <c r="A7" s="2" t="s">
        <v>103</v>
      </c>
      <c r="B7" s="2" t="s">
        <v>103</v>
      </c>
      <c r="C7" s="11" t="s">
        <v>120</v>
      </c>
      <c r="D7" s="11" t="s">
        <v>121</v>
      </c>
      <c r="E7" s="2">
        <f>LEN(D7)</f>
        <v>159</v>
      </c>
      <c r="F7" s="4" t="s">
        <v>106</v>
      </c>
      <c r="G7" s="4">
        <v>92701</v>
      </c>
      <c r="H7" s="3" t="s">
        <v>119</v>
      </c>
      <c r="I7" s="4" t="s">
        <v>106</v>
      </c>
      <c r="J7" s="2" t="s">
        <v>117</v>
      </c>
      <c r="K7" s="12">
        <v>45292</v>
      </c>
      <c r="L7" s="12">
        <v>410534</v>
      </c>
      <c r="M7" s="2" t="s">
        <v>118</v>
      </c>
      <c r="N7" s="4" t="s">
        <v>138</v>
      </c>
      <c r="O7" s="1" t="str">
        <f>I7</f>
        <v>Cooking</v>
      </c>
      <c r="P7" s="1" t="s">
        <v>31</v>
      </c>
      <c r="Q7" s="1" t="str">
        <f>N7</f>
        <v>Girls at night</v>
      </c>
    </row>
    <row r="8" spans="1:17" ht="56" customHeight="1">
      <c r="A8" s="2" t="s">
        <v>104</v>
      </c>
      <c r="B8" s="2" t="s">
        <v>104</v>
      </c>
      <c r="C8" s="11" t="s">
        <v>116</v>
      </c>
      <c r="D8" s="11" t="s">
        <v>115</v>
      </c>
      <c r="E8" s="2">
        <f>LEN(D8)</f>
        <v>88</v>
      </c>
      <c r="F8" s="4" t="s">
        <v>104</v>
      </c>
      <c r="G8" s="4">
        <v>92618</v>
      </c>
      <c r="H8" s="3" t="s">
        <v>114</v>
      </c>
      <c r="I8" s="4" t="s">
        <v>104</v>
      </c>
      <c r="J8" s="2" t="s">
        <v>112</v>
      </c>
      <c r="K8" s="12">
        <v>45292</v>
      </c>
      <c r="L8" s="12">
        <v>410534</v>
      </c>
      <c r="M8" s="2" t="s">
        <v>113</v>
      </c>
      <c r="N8" s="4" t="s">
        <v>138</v>
      </c>
      <c r="O8" s="1" t="str">
        <f>I8</f>
        <v>Improv</v>
      </c>
      <c r="P8" s="1" t="s">
        <v>49</v>
      </c>
      <c r="Q8" s="1"/>
    </row>
    <row r="9" spans="1:17" ht="70">
      <c r="A9" s="2" t="s">
        <v>37</v>
      </c>
      <c r="B9" s="2" t="s">
        <v>37</v>
      </c>
      <c r="C9" s="15" t="s">
        <v>39</v>
      </c>
      <c r="D9" s="15" t="s">
        <v>40</v>
      </c>
      <c r="E9" s="2">
        <f>LEN(D9)</f>
        <v>159</v>
      </c>
      <c r="F9" s="1" t="s">
        <v>141</v>
      </c>
      <c r="G9" s="4">
        <v>92630</v>
      </c>
      <c r="H9" s="14" t="s">
        <v>35</v>
      </c>
      <c r="I9" s="1" t="s">
        <v>38</v>
      </c>
      <c r="J9" s="2" t="s">
        <v>36</v>
      </c>
      <c r="K9" s="12">
        <v>45292</v>
      </c>
      <c r="L9" s="12">
        <v>410534</v>
      </c>
      <c r="M9" s="2" t="s">
        <v>26</v>
      </c>
      <c r="N9" s="1" t="s">
        <v>138</v>
      </c>
      <c r="O9" s="1" t="str">
        <f>I9</f>
        <v>Ladies</v>
      </c>
      <c r="P9" s="1" t="s">
        <v>31</v>
      </c>
      <c r="Q9" s="1" t="str">
        <f>N9</f>
        <v>Girls at night</v>
      </c>
    </row>
    <row r="10" spans="1:17" ht="63.5" customHeight="1">
      <c r="A10" s="10" t="s">
        <v>22</v>
      </c>
      <c r="B10" s="10" t="s">
        <v>22</v>
      </c>
      <c r="C10" s="15" t="s">
        <v>23</v>
      </c>
      <c r="D10" s="15" t="s">
        <v>24</v>
      </c>
      <c r="E10" s="2">
        <f>LEN(D10)</f>
        <v>146</v>
      </c>
      <c r="F10" s="1" t="s">
        <v>140</v>
      </c>
      <c r="G10" s="4">
        <v>92780</v>
      </c>
      <c r="H10" s="14" t="s">
        <v>21</v>
      </c>
      <c r="I10" s="1" t="s">
        <v>25</v>
      </c>
      <c r="J10" s="2" t="s">
        <v>20</v>
      </c>
      <c r="K10" s="12">
        <v>45292</v>
      </c>
      <c r="L10" s="12">
        <v>410534</v>
      </c>
      <c r="M10" s="2" t="s">
        <v>26</v>
      </c>
      <c r="N10" s="1" t="s">
        <v>138</v>
      </c>
      <c r="O10" s="1" t="str">
        <f>I10</f>
        <v>Mosaic</v>
      </c>
      <c r="P10" s="1" t="s">
        <v>27</v>
      </c>
      <c r="Q10" s="1" t="str">
        <f>N10</f>
        <v>Girls at night</v>
      </c>
    </row>
    <row r="11" spans="1:17" ht="134" customHeight="1">
      <c r="A11" s="2" t="s">
        <v>44</v>
      </c>
      <c r="B11" s="2" t="s">
        <v>44</v>
      </c>
      <c r="C11" s="16" t="s">
        <v>45</v>
      </c>
      <c r="D11" s="16" t="s">
        <v>45</v>
      </c>
      <c r="E11" s="2">
        <f>LEN(D11)</f>
        <v>144</v>
      </c>
      <c r="F11" s="1" t="s">
        <v>46</v>
      </c>
      <c r="G11" s="4">
        <v>92782</v>
      </c>
      <c r="H11" s="14" t="s">
        <v>43</v>
      </c>
      <c r="I11" s="1" t="s">
        <v>46</v>
      </c>
      <c r="J11" s="2" t="s">
        <v>42</v>
      </c>
      <c r="K11" s="12">
        <v>45292</v>
      </c>
      <c r="L11" s="12">
        <v>410534</v>
      </c>
      <c r="M11" s="2" t="s">
        <v>41</v>
      </c>
      <c r="N11" s="1" t="s">
        <v>138</v>
      </c>
      <c r="O11" s="1" t="str">
        <f>I11</f>
        <v>Paint</v>
      </c>
      <c r="P11" s="1" t="s">
        <v>27</v>
      </c>
      <c r="Q11" s="1" t="str">
        <f>N11</f>
        <v>Girls at night</v>
      </c>
    </row>
    <row r="12" spans="1:17" ht="86.5" customHeight="1">
      <c r="A12" s="2" t="s">
        <v>60</v>
      </c>
      <c r="B12" s="2" t="s">
        <v>60</v>
      </c>
      <c r="C12" s="16" t="s">
        <v>64</v>
      </c>
      <c r="D12" s="16" t="s">
        <v>65</v>
      </c>
      <c r="E12" s="2">
        <f>LEN(D12)</f>
        <v>136</v>
      </c>
      <c r="F12" s="1" t="s">
        <v>56</v>
      </c>
      <c r="G12" s="4">
        <v>92663</v>
      </c>
      <c r="H12" s="13" t="s">
        <v>63</v>
      </c>
      <c r="I12" s="1" t="s">
        <v>62</v>
      </c>
      <c r="J12" s="2" t="s">
        <v>61</v>
      </c>
      <c r="K12" s="12">
        <v>45292</v>
      </c>
      <c r="L12" s="12">
        <v>410534</v>
      </c>
      <c r="M12" s="2" t="s">
        <v>27</v>
      </c>
      <c r="N12" s="1" t="s">
        <v>138</v>
      </c>
      <c r="O12" s="1" t="str">
        <f>I12</f>
        <v>Pink</v>
      </c>
      <c r="P12" s="1" t="s">
        <v>27</v>
      </c>
      <c r="Q12" s="1" t="str">
        <f>N12</f>
        <v>Girls at night</v>
      </c>
    </row>
    <row r="13" spans="1:17" ht="55.5" customHeight="1">
      <c r="A13" s="2" t="s">
        <v>105</v>
      </c>
      <c r="B13" s="2" t="s">
        <v>105</v>
      </c>
      <c r="C13" s="11" t="s">
        <v>111</v>
      </c>
      <c r="D13" s="11" t="s">
        <v>111</v>
      </c>
      <c r="E13" s="2">
        <f>LEN(D13)</f>
        <v>91</v>
      </c>
      <c r="F13" s="4" t="s">
        <v>108</v>
      </c>
      <c r="G13" s="4">
        <v>92832</v>
      </c>
      <c r="H13" s="3" t="s">
        <v>110</v>
      </c>
      <c r="I13" s="4" t="s">
        <v>108</v>
      </c>
      <c r="J13" s="2" t="s">
        <v>109</v>
      </c>
      <c r="K13" s="12">
        <v>45292</v>
      </c>
      <c r="L13" s="12">
        <v>410534</v>
      </c>
      <c r="M13" s="2" t="s">
        <v>41</v>
      </c>
      <c r="N13" s="4" t="s">
        <v>138</v>
      </c>
      <c r="O13" s="1" t="str">
        <f>I13</f>
        <v>Poetry</v>
      </c>
      <c r="P13" s="1" t="s">
        <v>27</v>
      </c>
      <c r="Q13" s="1" t="str">
        <f>N13</f>
        <v>Girls at night</v>
      </c>
    </row>
    <row r="14" spans="1:17" ht="59">
      <c r="A14" s="2" t="s">
        <v>129</v>
      </c>
      <c r="B14" s="2" t="s">
        <v>129</v>
      </c>
      <c r="C14" s="11" t="s">
        <v>130</v>
      </c>
      <c r="D14" s="11" t="s">
        <v>130</v>
      </c>
      <c r="E14" s="2">
        <f>LEN(D14)</f>
        <v>153</v>
      </c>
      <c r="F14" s="4" t="s">
        <v>107</v>
      </c>
      <c r="G14" s="4"/>
      <c r="H14" s="3" t="s">
        <v>19</v>
      </c>
      <c r="I14" s="4" t="s">
        <v>107</v>
      </c>
      <c r="J14" s="2" t="s">
        <v>127</v>
      </c>
      <c r="K14" s="12">
        <v>45292</v>
      </c>
      <c r="L14" s="12">
        <v>410534</v>
      </c>
      <c r="M14" s="2" t="s">
        <v>128</v>
      </c>
      <c r="N14" s="4" t="s">
        <v>138</v>
      </c>
      <c r="O14" s="1" t="str">
        <f>I14</f>
        <v>Roller</v>
      </c>
      <c r="P14" s="1" t="s">
        <v>18</v>
      </c>
      <c r="Q14" s="1" t="str">
        <f>N14</f>
        <v>Girls at night</v>
      </c>
    </row>
    <row r="15" spans="1:17" ht="70">
      <c r="A15" s="9" t="s">
        <v>89</v>
      </c>
      <c r="B15" s="9" t="s">
        <v>89</v>
      </c>
      <c r="C15" s="17" t="s">
        <v>90</v>
      </c>
      <c r="D15" s="17" t="s">
        <v>91</v>
      </c>
      <c r="E15" s="2">
        <f>LEN(D15)</f>
        <v>147</v>
      </c>
      <c r="F15" s="1" t="s">
        <v>139</v>
      </c>
      <c r="G15" s="4"/>
      <c r="H15" s="13" t="s">
        <v>19</v>
      </c>
      <c r="I15" s="1" t="s">
        <v>86</v>
      </c>
      <c r="J15" s="2" t="s">
        <v>88</v>
      </c>
      <c r="K15" s="12">
        <v>45292</v>
      </c>
      <c r="L15" s="12">
        <v>410534</v>
      </c>
      <c r="M15" s="2" t="s">
        <v>85</v>
      </c>
      <c r="N15" s="1" t="s">
        <v>138</v>
      </c>
      <c r="O15" s="1" t="str">
        <f>I15</f>
        <v>Shake</v>
      </c>
      <c r="P15" s="1"/>
      <c r="Q15" s="1" t="str">
        <f>N15</f>
        <v>Girls at night</v>
      </c>
    </row>
    <row r="16" spans="1:17" ht="105">
      <c r="A16" s="2" t="s">
        <v>122</v>
      </c>
      <c r="B16" s="2" t="s">
        <v>122</v>
      </c>
      <c r="C16" s="11" t="s">
        <v>123</v>
      </c>
      <c r="D16" s="11" t="s">
        <v>124</v>
      </c>
      <c r="E16" s="2">
        <f>LEN(D16)</f>
        <v>158</v>
      </c>
      <c r="F16" s="4" t="s">
        <v>144</v>
      </c>
      <c r="G16" s="5"/>
      <c r="H16" s="3" t="s">
        <v>19</v>
      </c>
      <c r="I16" s="4" t="s">
        <v>125</v>
      </c>
      <c r="J16" s="2" t="s">
        <v>17</v>
      </c>
      <c r="K16" s="12">
        <v>45463</v>
      </c>
      <c r="L16" s="12">
        <v>45526</v>
      </c>
      <c r="M16" s="2" t="s">
        <v>126</v>
      </c>
      <c r="N16" s="4" t="s">
        <v>138</v>
      </c>
      <c r="O16" s="1" t="str">
        <f>I16</f>
        <v>Summer</v>
      </c>
      <c r="P16" s="1" t="s">
        <v>49</v>
      </c>
      <c r="Q16" s="1" t="str">
        <f>N16</f>
        <v>Girls at night</v>
      </c>
    </row>
    <row r="17" spans="1:17" ht="40">
      <c r="A17" s="2" t="s">
        <v>73</v>
      </c>
      <c r="B17" s="2" t="s">
        <v>73</v>
      </c>
      <c r="C17" s="17" t="s">
        <v>78</v>
      </c>
      <c r="D17" s="17" t="s">
        <v>79</v>
      </c>
      <c r="E17" s="2">
        <f>LEN(D17)</f>
        <v>143</v>
      </c>
      <c r="F17" s="1" t="s">
        <v>142</v>
      </c>
      <c r="G17" s="4">
        <v>92780</v>
      </c>
      <c r="H17" s="13" t="s">
        <v>76</v>
      </c>
      <c r="I17" s="1" t="s">
        <v>77</v>
      </c>
      <c r="J17" s="2" t="s">
        <v>74</v>
      </c>
      <c r="K17" s="12">
        <v>45292</v>
      </c>
      <c r="L17" s="12">
        <v>410534</v>
      </c>
      <c r="M17" s="2" t="s">
        <v>75</v>
      </c>
      <c r="N17" s="1" t="s">
        <v>138</v>
      </c>
      <c r="O17" s="1" t="str">
        <f>I17</f>
        <v>Tarot</v>
      </c>
      <c r="P17" s="1" t="s">
        <v>27</v>
      </c>
      <c r="Q17" s="1" t="str">
        <f>N17</f>
        <v>Girls at night</v>
      </c>
    </row>
    <row r="18" spans="1:17" ht="30">
      <c r="A18" s="2" t="s">
        <v>55</v>
      </c>
      <c r="B18" s="2" t="s">
        <v>55</v>
      </c>
      <c r="C18" s="16" t="s">
        <v>59</v>
      </c>
      <c r="D18" s="16" t="s">
        <v>59</v>
      </c>
      <c r="E18" s="2">
        <f>LEN(D18)</f>
        <v>106</v>
      </c>
      <c r="F18" s="1" t="s">
        <v>56</v>
      </c>
      <c r="G18" s="4">
        <v>92663</v>
      </c>
      <c r="H18" s="14" t="s">
        <v>58</v>
      </c>
      <c r="I18" s="1" t="s">
        <v>54</v>
      </c>
      <c r="J18" s="2" t="s">
        <v>57</v>
      </c>
      <c r="K18" s="12">
        <v>45292</v>
      </c>
      <c r="L18" s="12">
        <v>410534</v>
      </c>
      <c r="M18" s="2" t="s">
        <v>27</v>
      </c>
      <c r="N18" s="1" t="s">
        <v>138</v>
      </c>
      <c r="O18" s="1" t="str">
        <f>I18</f>
        <v>Tiki</v>
      </c>
      <c r="P18" s="1" t="s">
        <v>27</v>
      </c>
      <c r="Q18" s="1" t="str">
        <f>N18</f>
        <v>Girls at night</v>
      </c>
    </row>
    <row r="19" spans="1:17" ht="50">
      <c r="A19" s="2" t="s">
        <v>69</v>
      </c>
      <c r="B19" s="2" t="s">
        <v>69</v>
      </c>
      <c r="C19" s="16" t="s">
        <v>70</v>
      </c>
      <c r="D19" s="16" t="s">
        <v>71</v>
      </c>
      <c r="E19" s="2">
        <f>LEN(D19)</f>
        <v>154</v>
      </c>
      <c r="F19" s="1" t="s">
        <v>142</v>
      </c>
      <c r="G19" s="4"/>
      <c r="H19" s="13" t="s">
        <v>19</v>
      </c>
      <c r="I19" s="1" t="s">
        <v>72</v>
      </c>
      <c r="J19" s="2" t="s">
        <v>68</v>
      </c>
      <c r="K19" s="12">
        <v>45292</v>
      </c>
      <c r="L19" s="12">
        <v>410534</v>
      </c>
      <c r="M19" s="2" t="s">
        <v>67</v>
      </c>
      <c r="N19" s="1" t="s">
        <v>138</v>
      </c>
      <c r="O19" s="1" t="str">
        <f>I19</f>
        <v>Turkish</v>
      </c>
      <c r="P19" s="1" t="s">
        <v>31</v>
      </c>
      <c r="Q19" s="1" t="str">
        <f>N19</f>
        <v>Girls at night</v>
      </c>
    </row>
    <row r="20" spans="1:17" ht="50">
      <c r="A20" s="2" t="s">
        <v>32</v>
      </c>
      <c r="B20" s="2" t="s">
        <v>32</v>
      </c>
      <c r="C20" s="15" t="s">
        <v>33</v>
      </c>
      <c r="D20" s="15" t="s">
        <v>34</v>
      </c>
      <c r="E20" s="2">
        <f>LEN(D20)</f>
        <v>160</v>
      </c>
      <c r="F20" s="1" t="s">
        <v>141</v>
      </c>
      <c r="G20" s="4">
        <v>92614</v>
      </c>
      <c r="H20" s="14" t="s">
        <v>28</v>
      </c>
      <c r="I20" s="1" t="s">
        <v>29</v>
      </c>
      <c r="J20" s="2" t="s">
        <v>30</v>
      </c>
      <c r="K20" s="12">
        <v>45292</v>
      </c>
      <c r="L20" s="12">
        <v>410534</v>
      </c>
      <c r="M20" s="2" t="s">
        <v>26</v>
      </c>
      <c r="N20" s="1" t="s">
        <v>138</v>
      </c>
      <c r="O20" s="1" t="str">
        <f>I20</f>
        <v>Womens</v>
      </c>
      <c r="P20" s="1" t="s">
        <v>31</v>
      </c>
      <c r="Q20" s="1" t="str">
        <f>N20</f>
        <v>Girls at night</v>
      </c>
    </row>
  </sheetData>
  <autoFilter ref="A1:Q20" xr:uid="{63DA3E44-3605-449C-AE11-8D4FB01A0BBE}">
    <sortState xmlns:xlrd2="http://schemas.microsoft.com/office/spreadsheetml/2017/richdata2" ref="A2:Q20">
      <sortCondition ref="B1:B20"/>
    </sortState>
  </autoFilter>
  <phoneticPr fontId="10"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2024-08-12T03:49:35Z</dcterms:modified>
</cp:coreProperties>
</file>